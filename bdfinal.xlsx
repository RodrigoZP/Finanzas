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asus\Desktop\"/>
    </mc:Choice>
  </mc:AlternateContent>
  <xr:revisionPtr revIDLastSave="0" documentId="13_ncr:1_{D5A7340B-7538-4AFE-ADB2-4356297E8788}" xr6:coauthVersionLast="47" xr6:coauthVersionMax="47" xr10:uidLastSave="{00000000-0000-0000-0000-000000000000}"/>
  <bookViews>
    <workbookView xWindow="-108" yWindow="-108" windowWidth="23256" windowHeight="12720" xr2:uid="{00000000-000D-0000-FFFF-FFFF00000000}"/>
  </bookViews>
  <sheets>
    <sheet name="ENEL" sheetId="1" r:id="rId1"/>
    <sheet name="Análisis" sheetId="2" r:id="rId2"/>
    <sheet name="A plotea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4" l="1"/>
  <c r="E41" i="4"/>
  <c r="F41" i="4"/>
  <c r="G41" i="4"/>
  <c r="H41" i="4"/>
  <c r="I41" i="4"/>
  <c r="J41" i="4"/>
  <c r="K41" i="4"/>
  <c r="L41" i="4"/>
  <c r="M41" i="4"/>
  <c r="N41" i="4"/>
  <c r="O41" i="4"/>
  <c r="P41" i="4"/>
  <c r="C41" i="4"/>
  <c r="B111" i="2"/>
  <c r="C111" i="2"/>
  <c r="D111" i="2"/>
  <c r="E111" i="2"/>
  <c r="F111" i="2"/>
  <c r="G111" i="2"/>
  <c r="H111" i="2"/>
  <c r="I111" i="2"/>
  <c r="J111" i="2"/>
  <c r="K111" i="2"/>
  <c r="L111" i="2"/>
  <c r="M111" i="2"/>
  <c r="N111" i="2"/>
  <c r="O111" i="2"/>
  <c r="D33" i="4"/>
  <c r="E33" i="4"/>
  <c r="F33" i="4"/>
  <c r="G33" i="4"/>
  <c r="H33" i="4"/>
  <c r="I33" i="4"/>
  <c r="J33" i="4"/>
  <c r="K33" i="4"/>
  <c r="L33" i="4"/>
  <c r="M33" i="4"/>
  <c r="N33" i="4"/>
  <c r="O33" i="4"/>
  <c r="P33" i="4"/>
  <c r="C33" i="4"/>
  <c r="C163" i="2" l="1"/>
  <c r="D163" i="2"/>
  <c r="E163" i="2"/>
  <c r="F163" i="2"/>
  <c r="G163" i="2"/>
  <c r="H163" i="2"/>
  <c r="I163" i="2"/>
  <c r="J163" i="2"/>
  <c r="K163" i="2"/>
  <c r="L163" i="2"/>
  <c r="M163" i="2"/>
  <c r="N163" i="2"/>
  <c r="O163" i="2"/>
  <c r="B163" i="2"/>
  <c r="O162" i="2"/>
  <c r="N162" i="2"/>
  <c r="C162" i="2"/>
  <c r="D162" i="2"/>
  <c r="E162" i="2"/>
  <c r="F162" i="2"/>
  <c r="G162" i="2"/>
  <c r="H162" i="2"/>
  <c r="I162" i="2"/>
  <c r="J162" i="2"/>
  <c r="K162" i="2"/>
  <c r="L162" i="2"/>
  <c r="M162" i="2"/>
  <c r="B162" i="2"/>
  <c r="C3" i="2"/>
  <c r="C154" i="2"/>
  <c r="D154" i="2"/>
  <c r="E154" i="2"/>
  <c r="F154" i="2"/>
  <c r="G154" i="2"/>
  <c r="H154" i="2"/>
  <c r="I154" i="2"/>
  <c r="J154" i="2"/>
  <c r="K154" i="2"/>
  <c r="L154" i="2"/>
  <c r="M154" i="2"/>
  <c r="N154" i="2"/>
  <c r="O154" i="2"/>
  <c r="B154" i="2"/>
  <c r="C153" i="2"/>
  <c r="D153" i="2"/>
  <c r="E153" i="2"/>
  <c r="F153" i="2"/>
  <c r="G153" i="2"/>
  <c r="H153" i="2"/>
  <c r="I153" i="2"/>
  <c r="J153" i="2"/>
  <c r="K153" i="2"/>
  <c r="L153" i="2"/>
  <c r="M153" i="2"/>
  <c r="N153" i="2"/>
  <c r="O153" i="2"/>
  <c r="B153" i="2"/>
  <c r="B152" i="2"/>
  <c r="C152" i="2"/>
  <c r="D152" i="2"/>
  <c r="E152" i="2"/>
  <c r="F152" i="2"/>
  <c r="G152" i="2"/>
  <c r="H152" i="2"/>
  <c r="I152" i="2"/>
  <c r="J152" i="2"/>
  <c r="K152" i="2"/>
  <c r="L152" i="2"/>
  <c r="M152" i="2"/>
  <c r="N152" i="2"/>
  <c r="O152" i="2"/>
  <c r="C151" i="2"/>
  <c r="D151" i="2"/>
  <c r="E151" i="2"/>
  <c r="F151" i="2"/>
  <c r="G151" i="2"/>
  <c r="H151" i="2"/>
  <c r="I151" i="2"/>
  <c r="J151" i="2"/>
  <c r="K151" i="2"/>
  <c r="L151" i="2"/>
  <c r="M151" i="2"/>
  <c r="N151" i="2"/>
  <c r="O151" i="2"/>
  <c r="B151" i="2"/>
  <c r="C149" i="2"/>
  <c r="D149" i="2"/>
  <c r="E149" i="2"/>
  <c r="F149" i="2"/>
  <c r="G149" i="2"/>
  <c r="H149" i="2"/>
  <c r="I149" i="2"/>
  <c r="J149" i="2"/>
  <c r="K149" i="2"/>
  <c r="L149" i="2"/>
  <c r="M149" i="2"/>
  <c r="N149" i="2"/>
  <c r="O149" i="2"/>
  <c r="B149" i="2"/>
  <c r="C148" i="2"/>
  <c r="D148" i="2"/>
  <c r="E148" i="2"/>
  <c r="F148" i="2"/>
  <c r="G148" i="2"/>
  <c r="H148" i="2"/>
  <c r="I148" i="2"/>
  <c r="J148" i="2"/>
  <c r="K148" i="2"/>
  <c r="L148" i="2"/>
  <c r="M148" i="2"/>
  <c r="N148" i="2"/>
  <c r="O148" i="2"/>
  <c r="B148" i="2"/>
  <c r="O147" i="2"/>
  <c r="C147" i="2"/>
  <c r="D147" i="2"/>
  <c r="E147" i="2"/>
  <c r="F147" i="2"/>
  <c r="G147" i="2"/>
  <c r="H147" i="2"/>
  <c r="I147" i="2"/>
  <c r="J147" i="2"/>
  <c r="K147" i="2"/>
  <c r="L147" i="2"/>
  <c r="M147" i="2"/>
  <c r="N147" i="2"/>
  <c r="B147" i="2"/>
  <c r="C123" i="2"/>
  <c r="D123" i="2"/>
  <c r="E123" i="2"/>
  <c r="L123" i="2"/>
  <c r="B122" i="2"/>
  <c r="C122" i="2"/>
  <c r="D122" i="2"/>
  <c r="E122" i="2"/>
  <c r="J122" i="2"/>
  <c r="M122" i="2"/>
  <c r="C115" i="2"/>
  <c r="D115" i="2"/>
  <c r="E115" i="2"/>
  <c r="F115" i="2"/>
  <c r="F122" i="2" s="1"/>
  <c r="G115" i="2"/>
  <c r="G122" i="2" s="1"/>
  <c r="H115" i="2"/>
  <c r="H122" i="2" s="1"/>
  <c r="I115" i="2"/>
  <c r="I122" i="2" s="1"/>
  <c r="J115" i="2"/>
  <c r="K115" i="2"/>
  <c r="K122" i="2" s="1"/>
  <c r="L115" i="2"/>
  <c r="L122" i="2" s="1"/>
  <c r="M115" i="2"/>
  <c r="N115" i="2"/>
  <c r="N122" i="2" s="1"/>
  <c r="O115" i="2"/>
  <c r="O122" i="2" s="1"/>
  <c r="P115" i="2"/>
  <c r="P122" i="2" s="1"/>
  <c r="B115" i="2"/>
  <c r="C88" i="2"/>
  <c r="D88" i="2"/>
  <c r="E88" i="2"/>
  <c r="F88" i="2"/>
  <c r="G88" i="2"/>
  <c r="H88" i="2"/>
  <c r="I88" i="2"/>
  <c r="J88" i="2"/>
  <c r="K88" i="2"/>
  <c r="L88" i="2"/>
  <c r="M88" i="2"/>
  <c r="N88" i="2"/>
  <c r="O88" i="2"/>
  <c r="B88" i="2"/>
  <c r="C87" i="2"/>
  <c r="D87" i="2"/>
  <c r="E87" i="2"/>
  <c r="F87" i="2"/>
  <c r="G87" i="2"/>
  <c r="H87" i="2"/>
  <c r="I87" i="2"/>
  <c r="J87" i="2"/>
  <c r="K87" i="2"/>
  <c r="L87" i="2"/>
  <c r="M87" i="2"/>
  <c r="N87" i="2"/>
  <c r="O87" i="2"/>
  <c r="B87" i="2"/>
  <c r="C116" i="2"/>
  <c r="D116" i="2"/>
  <c r="E116" i="2"/>
  <c r="F116" i="2"/>
  <c r="F123" i="2" s="1"/>
  <c r="G116" i="2"/>
  <c r="G123" i="2" s="1"/>
  <c r="H116" i="2"/>
  <c r="H123" i="2" s="1"/>
  <c r="I116" i="2"/>
  <c r="I123" i="2" s="1"/>
  <c r="J116" i="2"/>
  <c r="J123" i="2" s="1"/>
  <c r="K116" i="2"/>
  <c r="K123" i="2" s="1"/>
  <c r="L116" i="2"/>
  <c r="M116" i="2"/>
  <c r="M123" i="2" s="1"/>
  <c r="N116" i="2"/>
  <c r="N123" i="2" s="1"/>
  <c r="O116" i="2"/>
  <c r="O123" i="2" s="1"/>
  <c r="P116" i="2"/>
  <c r="P123" i="2" s="1"/>
  <c r="B116" i="2"/>
  <c r="B123" i="2" s="1"/>
  <c r="C85" i="2"/>
  <c r="D85" i="2"/>
  <c r="E85" i="2"/>
  <c r="F85" i="2"/>
  <c r="F86" i="2" s="1"/>
  <c r="F89" i="2" s="1"/>
  <c r="G85" i="2"/>
  <c r="H85" i="2"/>
  <c r="I85" i="2"/>
  <c r="J85" i="2"/>
  <c r="K85" i="2"/>
  <c r="L85" i="2"/>
  <c r="M85" i="2"/>
  <c r="N85" i="2"/>
  <c r="O85" i="2"/>
  <c r="B85" i="2"/>
  <c r="B86" i="2" s="1"/>
  <c r="C84" i="2"/>
  <c r="D84" i="2"/>
  <c r="E84" i="2"/>
  <c r="F84" i="2"/>
  <c r="G84" i="2"/>
  <c r="H84" i="2"/>
  <c r="I84" i="2"/>
  <c r="J84" i="2"/>
  <c r="K84" i="2"/>
  <c r="L84" i="2"/>
  <c r="M84" i="2"/>
  <c r="N84" i="2"/>
  <c r="O84" i="2"/>
  <c r="B84" i="2"/>
  <c r="C83" i="2"/>
  <c r="D83" i="2"/>
  <c r="D86" i="2" s="1"/>
  <c r="D89" i="2" s="1"/>
  <c r="E83" i="2"/>
  <c r="F83" i="2"/>
  <c r="G83" i="2"/>
  <c r="H83" i="2"/>
  <c r="I83" i="2"/>
  <c r="J83" i="2"/>
  <c r="K83" i="2"/>
  <c r="K86" i="2" s="1"/>
  <c r="L83" i="2"/>
  <c r="M83" i="2"/>
  <c r="N83" i="2"/>
  <c r="O83" i="2"/>
  <c r="B83" i="2"/>
  <c r="C36" i="2"/>
  <c r="D36" i="2"/>
  <c r="E36" i="2"/>
  <c r="F36" i="2"/>
  <c r="G36" i="2"/>
  <c r="H36" i="2"/>
  <c r="I36" i="2"/>
  <c r="J36" i="2"/>
  <c r="K36" i="2"/>
  <c r="L36" i="2"/>
  <c r="M36" i="2"/>
  <c r="N36" i="2"/>
  <c r="O36" i="2"/>
  <c r="P36" i="2"/>
  <c r="B36" i="2"/>
  <c r="C32" i="2"/>
  <c r="D32" i="2"/>
  <c r="E32" i="2"/>
  <c r="F32" i="2"/>
  <c r="G32" i="2"/>
  <c r="H32" i="2"/>
  <c r="I32" i="2"/>
  <c r="J32" i="2"/>
  <c r="K32" i="2"/>
  <c r="L32" i="2"/>
  <c r="M32" i="2"/>
  <c r="N32" i="2"/>
  <c r="O32" i="2"/>
  <c r="B32" i="2"/>
  <c r="C5" i="2"/>
  <c r="D5" i="2"/>
  <c r="E5" i="2"/>
  <c r="F5" i="2"/>
  <c r="G5" i="2"/>
  <c r="H5" i="2"/>
  <c r="I5" i="2"/>
  <c r="J5" i="2"/>
  <c r="K5" i="2"/>
  <c r="L5" i="2"/>
  <c r="M5" i="2"/>
  <c r="N5" i="2"/>
  <c r="O5" i="2"/>
  <c r="B5" i="2"/>
  <c r="C4" i="2"/>
  <c r="D4" i="2"/>
  <c r="E4" i="2"/>
  <c r="F4" i="2"/>
  <c r="G4" i="2"/>
  <c r="H4" i="2"/>
  <c r="I4" i="2"/>
  <c r="J4" i="2"/>
  <c r="K4" i="2"/>
  <c r="L4" i="2"/>
  <c r="M4" i="2"/>
  <c r="N4" i="2"/>
  <c r="O4" i="2"/>
  <c r="B4" i="2"/>
  <c r="C30" i="2"/>
  <c r="D30" i="2"/>
  <c r="E30" i="2"/>
  <c r="F30" i="2"/>
  <c r="G30" i="2"/>
  <c r="H30" i="2"/>
  <c r="I30" i="2"/>
  <c r="J30" i="2"/>
  <c r="K30" i="2"/>
  <c r="L30" i="2"/>
  <c r="M30" i="2"/>
  <c r="N30" i="2"/>
  <c r="O30" i="2"/>
  <c r="B30" i="2"/>
  <c r="C29" i="2"/>
  <c r="D29" i="2"/>
  <c r="E29" i="2"/>
  <c r="F29" i="2"/>
  <c r="G29" i="2"/>
  <c r="H29" i="2"/>
  <c r="I29" i="2"/>
  <c r="J29" i="2"/>
  <c r="K29" i="2"/>
  <c r="L29" i="2"/>
  <c r="M29" i="2"/>
  <c r="N29" i="2"/>
  <c r="O29" i="2"/>
  <c r="B29" i="2"/>
  <c r="C28" i="2"/>
  <c r="D28" i="2"/>
  <c r="E28" i="2"/>
  <c r="F28" i="2"/>
  <c r="G28" i="2"/>
  <c r="H28" i="2"/>
  <c r="I28" i="2"/>
  <c r="J28" i="2"/>
  <c r="K28" i="2"/>
  <c r="L28" i="2"/>
  <c r="M28" i="2"/>
  <c r="N28" i="2"/>
  <c r="O28" i="2"/>
  <c r="B28" i="2"/>
  <c r="B3" i="2"/>
  <c r="D3" i="2"/>
  <c r="E3" i="2"/>
  <c r="F3" i="2"/>
  <c r="G3" i="2"/>
  <c r="H3" i="2"/>
  <c r="I3" i="2"/>
  <c r="J3" i="2"/>
  <c r="K3" i="2"/>
  <c r="L3" i="2"/>
  <c r="M3" i="2"/>
  <c r="N3" i="2"/>
  <c r="O3" i="2"/>
  <c r="B89" i="2" l="1"/>
  <c r="O86" i="2"/>
  <c r="O89" i="2" s="1"/>
  <c r="L86" i="2"/>
  <c r="H86" i="2"/>
  <c r="K89" i="2"/>
  <c r="I86" i="2"/>
  <c r="I89" i="2" s="1"/>
  <c r="N86" i="2"/>
  <c r="N89" i="2" s="1"/>
  <c r="L89" i="2"/>
  <c r="M86" i="2"/>
  <c r="M89" i="2" s="1"/>
  <c r="J86" i="2"/>
  <c r="J89" i="2" s="1"/>
  <c r="H89" i="2"/>
  <c r="G86" i="2"/>
  <c r="G89" i="2" s="1"/>
  <c r="E86" i="2"/>
  <c r="E89" i="2" s="1"/>
  <c r="C86" i="2"/>
  <c r="C8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tc={4CDDF77E-B695-47B9-90EB-8D84F21E6109}</author>
  </authors>
  <commentList>
    <comment ref="A84" authorId="0" shapeId="0" xr:uid="{4CDDF77E-B695-47B9-90EB-8D84F21E6109}">
      <text>
        <t>[Comentario encadenado]
Su versión de Excel le permite leer este comentario encadenado; sin embargo, las ediciones que se apliquen se quitarán si el archivo se abre en una versión más reciente de Excel. Más información: https://go.microsoft.com/fwlink/?linkid=870924
Comentario:
    Aumento de gastos
Respuesta:
    Dep y am es operacional o no operacional?</t>
      </text>
    </comment>
  </commentList>
</comments>
</file>

<file path=xl/sharedStrings.xml><?xml version="1.0" encoding="utf-8"?>
<sst xmlns="http://schemas.openxmlformats.org/spreadsheetml/2006/main" count="383" uniqueCount="163">
  <si>
    <t/>
  </si>
  <si>
    <t>-</t>
  </si>
  <si>
    <t>ACTIVO</t>
  </si>
  <si>
    <t xml:space="preserve"> Activo total</t>
  </si>
  <si>
    <t xml:space="preserve"> Activo Corriente</t>
  </si>
  <si>
    <t xml:space="preserve"> Total de activos corrientes distintos de los activo o grupos de activos para su disposicion clasificados como mantenidos para la venta o como mantenidos para distribuir a los propietarios</t>
  </si>
  <si>
    <t xml:space="preserve"> Efectivo</t>
  </si>
  <si>
    <t xml:space="preserve"> Otros activos financieros corrientes</t>
  </si>
  <si>
    <t xml:space="preserve"> Otros activos no financieros corrientes</t>
  </si>
  <si>
    <t xml:space="preserve"> Cuentas por cobrar corrientes</t>
  </si>
  <si>
    <t xml:space="preserve"> Cuentas por cobrar a entidades relacionadas, corrientes</t>
  </si>
  <si>
    <t xml:space="preserve"> Inventarios corrientes</t>
  </si>
  <si>
    <t xml:space="preserve"> Activos por impuestos corrientes, corrientes</t>
  </si>
  <si>
    <t xml:space="preserve"> Activos no corrientes o grupos de activos para su disposicion clasificados como mantenidos para la venta o como mantenidos para distribuir a los propietarios</t>
  </si>
  <si>
    <t xml:space="preserve"> Activo no Corriente</t>
  </si>
  <si>
    <t xml:space="preserve"> Otros activos financieros no corrientes</t>
  </si>
  <si>
    <t xml:space="preserve"> Otros activos no financieros no corrientes</t>
  </si>
  <si>
    <t xml:space="preserve"> Cuentas por cobrar no corrientes</t>
  </si>
  <si>
    <t xml:space="preserve"> Inventarios, no corrientes</t>
  </si>
  <si>
    <t xml:space="preserve"> Cuentas por cobrar a entidades relacionadas, no corrientes</t>
  </si>
  <si>
    <t xml:space="preserve"> Inversiones contabilizadas utilizando el metodo de la participacion</t>
  </si>
  <si>
    <t xml:space="preserve"> Activos intangibles distintos de la plusvalia</t>
  </si>
  <si>
    <t xml:space="preserve"> Plusvalia</t>
  </si>
  <si>
    <t xml:space="preserve"> Propiedades, planta y equipo neto</t>
  </si>
  <si>
    <t xml:space="preserve"> Activos biologicos no corrientes</t>
  </si>
  <si>
    <t xml:space="preserve"> Propiedad de inversion</t>
  </si>
  <si>
    <t xml:space="preserve"> Activos por derechos de uso</t>
  </si>
  <si>
    <t xml:space="preserve"> Activos por impuestos corrientes, no corrientes</t>
  </si>
  <si>
    <t xml:space="preserve"> Activos por impuestos diferidos</t>
  </si>
  <si>
    <t xml:space="preserve"> Total activos servicios bancarios</t>
  </si>
  <si>
    <t>PASIVO</t>
  </si>
  <si>
    <t xml:space="preserve"> Pasivo + patrimonio neto</t>
  </si>
  <si>
    <t xml:space="preserve"> Pasivo total</t>
  </si>
  <si>
    <t xml:space="preserve"> Pasivo Corriente</t>
  </si>
  <si>
    <t xml:space="preserve"> Total de pasivos corrientes distintos de los pasivos incluidos en grupos de activos para su disposicion clasificados como mantenidos para la venta</t>
  </si>
  <si>
    <t xml:space="preserve"> Otros pasivos financieros corrientes</t>
  </si>
  <si>
    <t xml:space="preserve"> Pasivos por arrendamientos a corto plazo</t>
  </si>
  <si>
    <t xml:space="preserve"> Provedores corrientes</t>
  </si>
  <si>
    <t xml:space="preserve"> Cuentas por pagar a entidades relacionadas, corrientes</t>
  </si>
  <si>
    <t xml:space="preserve"> Otras provisiones a corto plazo</t>
  </si>
  <si>
    <t xml:space="preserve"> Pasivos por impuestos corrientes, corrientes</t>
  </si>
  <si>
    <t xml:space="preserve"> Provisiones corrientes por beneficios a los empleados</t>
  </si>
  <si>
    <t xml:space="preserve"> Otros pasivos no financieros corrientes</t>
  </si>
  <si>
    <t xml:space="preserve"> Pasivos incluidos en grupos de activos para su disposicion clasificados como mantenidos para la venta</t>
  </si>
  <si>
    <t xml:space="preserve"> Pasivo no Corriente</t>
  </si>
  <si>
    <t xml:space="preserve"> Otros pasivos financieros no corrientes</t>
  </si>
  <si>
    <t xml:space="preserve"> Pasivos por arrendamientos a largo plazo</t>
  </si>
  <si>
    <t xml:space="preserve"> Acreedores comerciales y otras cuentas a pagar no corrientes</t>
  </si>
  <si>
    <t xml:space="preserve"> Cuentas por pagar a entidades relacionadas, no corrientes</t>
  </si>
  <si>
    <t xml:space="preserve"> Otras provisiones a largo plazo</t>
  </si>
  <si>
    <t xml:space="preserve"> Pasivo por impuestos diferidos</t>
  </si>
  <si>
    <t xml:space="preserve"> Pasivos por impuestos corrientes, no corrientes</t>
  </si>
  <si>
    <t xml:space="preserve"> Provisiones no corrientes por beneficios a los empleados</t>
  </si>
  <si>
    <t xml:space="preserve"> Otros pasivos no financieros no corrientes</t>
  </si>
  <si>
    <t xml:space="preserve"> Total pasivos servicios bancarios</t>
  </si>
  <si>
    <t xml:space="preserve"> Patrimonio neto consolidado</t>
  </si>
  <si>
    <t xml:space="preserve"> Patrimonio neto (participacion controladora)</t>
  </si>
  <si>
    <t xml:space="preserve"> Capital emitido</t>
  </si>
  <si>
    <t xml:space="preserve"> Ganancias (perdidas) acumuladas</t>
  </si>
  <si>
    <t xml:space="preserve"> Prima de emision</t>
  </si>
  <si>
    <t xml:space="preserve"> Acciones propias en cartera</t>
  </si>
  <si>
    <t xml:space="preserve"> Otras participaciones en el patrimonio</t>
  </si>
  <si>
    <t xml:space="preserve"> Otras reservas</t>
  </si>
  <si>
    <t xml:space="preserve"> Participaciones no controladoras</t>
  </si>
  <si>
    <t>EST RESULT</t>
  </si>
  <si>
    <t xml:space="preserve"> Meses</t>
  </si>
  <si>
    <t>+Ingresos netos</t>
  </si>
  <si>
    <t>-Costo de ventas</t>
  </si>
  <si>
    <t>=Ganancia bruta</t>
  </si>
  <si>
    <t>+Otros ingresos</t>
  </si>
  <si>
    <t>-Costos de distribucion</t>
  </si>
  <si>
    <t>-Gastos de administracion</t>
  </si>
  <si>
    <t>-Otros gastos, por funcion</t>
  </si>
  <si>
    <t>+Otras ganancias (perdidas)</t>
  </si>
  <si>
    <t>=Ganancias (perdidas) de actividades operacionales EBIT</t>
  </si>
  <si>
    <t>+Ganancias (perdidas) que surgen de la baja en cuentas de activos financieros medidos al costo amortizado</t>
  </si>
  <si>
    <t>+Ingresos financieros</t>
  </si>
  <si>
    <t>-Costos financieros</t>
  </si>
  <si>
    <t>+Deterioro de valor de ganancias y reversion de perdidas por deterioro de valor (perdidas por deterioro de valor) determinado de acuerdo con la NIIF 9</t>
  </si>
  <si>
    <t>+Participacion en las ganancias (perdidas) de asociadas y negocios conjuntos que se contabilicen utilizando el metodo de la participacion</t>
  </si>
  <si>
    <t>+Diferencias de cambio</t>
  </si>
  <si>
    <t>+Resultados por unidades de reajuste</t>
  </si>
  <si>
    <t>+Ganancias (perdidas) que surgen de diferencias entre importes en libros anteriores y el valor razonable de activos financieros reclasificados como medidos al valor razonable</t>
  </si>
  <si>
    <t>+Gan (perd) acum anteriormente recon en otro res integral que surge de la reclas de act fin de la categoria de medicion de vl raz con cambios en otro res int a la de vl raz con cambios en res</t>
  </si>
  <si>
    <t>+Ganancias (perdidas) de cobertura por cobertura de un grupo de partidas con posiciones de riesgo compensadoras</t>
  </si>
  <si>
    <t>=Ganancia (perdida), antes de impuestos</t>
  </si>
  <si>
    <t>-Gasto por impuestos a las ganancias</t>
  </si>
  <si>
    <t>=Ganancia (perdida) procedente de operaciones continuadas</t>
  </si>
  <si>
    <t>-Ganancia (perdida) procedente de operaciones discontinuadas</t>
  </si>
  <si>
    <t>+Ganancia (perdida) neta servicios bancarios</t>
  </si>
  <si>
    <t>=Utilidad consolidada</t>
  </si>
  <si>
    <t>-Ganancia (perdida), atribuible a participaciones no controladoras</t>
  </si>
  <si>
    <t>=Ganancia (perdida) neta</t>
  </si>
  <si>
    <t>-Disminucion (aumento) en inventarios de productos terminados y en proceso</t>
  </si>
  <si>
    <t>+Otros trabajos realizados por la entidad y capitalizados</t>
  </si>
  <si>
    <t>-Materias primas y consumibles utilizados</t>
  </si>
  <si>
    <t>-Gastos por beneficios a los empleados</t>
  </si>
  <si>
    <t>-Depreciacion y amortizacion</t>
  </si>
  <si>
    <t>+Perdidas por deterioro de valor (reversiones de perdidas por deterioro de valor) reconocidas en el resultado del periodo</t>
  </si>
  <si>
    <t>-Otros gastos, por naturaleza</t>
  </si>
  <si>
    <t>+Ganancia (perdida) procedente de operaciones discontinuadas</t>
  </si>
  <si>
    <t>Consolidado</t>
  </si>
  <si>
    <t>Razón Corriente</t>
  </si>
  <si>
    <t>Razón de Deuda</t>
  </si>
  <si>
    <t>Razón Deuda CP</t>
  </si>
  <si>
    <t>Leverage Financiero</t>
  </si>
  <si>
    <t>LIQUIDEZ</t>
  </si>
  <si>
    <t>Liquidez Real</t>
  </si>
  <si>
    <t>Prueba Ácida</t>
  </si>
  <si>
    <t>ENDEUDAMIENTO</t>
  </si>
  <si>
    <t>COBERTURA</t>
  </si>
  <si>
    <t>Cobertura Total</t>
  </si>
  <si>
    <t>RENTABILIDAD</t>
  </si>
  <si>
    <t>ROA</t>
  </si>
  <si>
    <t>Rotación de Activos</t>
  </si>
  <si>
    <t>EFICIENCIA</t>
  </si>
  <si>
    <t>Margen Operacional</t>
  </si>
  <si>
    <t>Margen Neto</t>
  </si>
  <si>
    <t>ROA(2)</t>
  </si>
  <si>
    <t>ROA(3)</t>
  </si>
  <si>
    <t>ROE</t>
  </si>
  <si>
    <t>EVA</t>
  </si>
  <si>
    <t>por qué?</t>
  </si>
  <si>
    <t>Ok normal</t>
  </si>
  <si>
    <t>y esa subida?</t>
  </si>
  <si>
    <t>esa subida?</t>
  </si>
  <si>
    <t>UDI</t>
  </si>
  <si>
    <t>Cobertura G.F.</t>
  </si>
  <si>
    <t>ganancias extraordinarias</t>
  </si>
  <si>
    <t xml:space="preserve">ganancias extraordinarias </t>
  </si>
  <si>
    <t>IPC a 2024</t>
  </si>
  <si>
    <t>VALORES EN LIBRO</t>
  </si>
  <si>
    <t>VALORES PRESENTES</t>
  </si>
  <si>
    <t>ESTRUCTURA DE CAPITAL DE TRABAJO</t>
  </si>
  <si>
    <t>ACTIVOS</t>
  </si>
  <si>
    <t>ACTIVOS CORRIENTES</t>
  </si>
  <si>
    <t>ACTIVOS NO CORRIENTES</t>
  </si>
  <si>
    <t>PASIVO CORRIENTE</t>
  </si>
  <si>
    <t>PASIVO NO CORRIENTE</t>
  </si>
  <si>
    <t>PATRIMONIO</t>
  </si>
  <si>
    <t>Conservadora</t>
  </si>
  <si>
    <t>Agresiva</t>
  </si>
  <si>
    <t>Equilibrada</t>
  </si>
  <si>
    <t>ojo con la cobertura en estos casos</t>
  </si>
  <si>
    <t>inv de act o - ixv</t>
  </si>
  <si>
    <t>por qué disminuyo?</t>
  </si>
  <si>
    <t>por qué la brecha disminuye y dsps aumenta</t>
  </si>
  <si>
    <t>aumento de activos</t>
  </si>
  <si>
    <t>Año</t>
  </si>
  <si>
    <t>sciencedirect.com</t>
  </si>
  <si>
    <t>GARCH</t>
  </si>
  <si>
    <t>Ratio\Año</t>
  </si>
  <si>
    <t>ANC/AT</t>
  </si>
  <si>
    <t>AC/AT</t>
  </si>
  <si>
    <t>PROPORCIÓN DEL ACTIVO</t>
  </si>
  <si>
    <t>Ingresos por Venta</t>
  </si>
  <si>
    <t>Margen Op 2</t>
  </si>
  <si>
    <t xml:space="preserve"> Patrimonio neto</t>
  </si>
  <si>
    <t>IxV con IPC</t>
  </si>
  <si>
    <t>Indice\Año</t>
  </si>
  <si>
    <t>Indice con IPC\IPC</t>
  </si>
  <si>
    <t>UDI c/IPC</t>
  </si>
  <si>
    <t>EVA c/IPC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</si>
</sst>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0.000"/>
    <numFmt numFmtId="165" formatCode="_-* #,##0.000_-;\-* #,##0.000_-;_-* &quot;-&quot;??_-;_-@_-"/>
    <numFmt numFmtId="166" formatCode="_-* #,##0_-;\-* #,##0_-;_-* &quot;-&quot;??_-;_-@_-"/>
    <numFmt numFmtId="173" formatCode="0.0%"/>
    <numFmt numFmtId="174" formatCode="_ [$$-340A]* #,##0_ ;_ [$$-340A]* \-#,##0_ ;_ [$$-340A]* &quot;-&quot;_ ;_ @_ "/>
  </numFmts>
  <fonts count="8" x14ac:knownFonts="1">
    <font>
      <sz val="11"/>
      <color theme="1"/>
      <name val="Calibri"/>
      <family val="2"/>
      <scheme val="minor"/>
    </font>
    <font>
      <sz val="9"/>
      <color rgb="FF333333"/>
      <name val="Arial"/>
    </font>
    <font>
      <sz val="9"/>
      <color rgb="FF0015AA"/>
      <name val="Arial"/>
    </font>
    <font>
      <sz val="9"/>
      <color rgb="FF3297D3"/>
      <name val="Arial"/>
    </font>
    <font>
      <sz val="11"/>
      <color theme="1"/>
      <name val="Calibri"/>
      <family val="2"/>
      <scheme val="minor"/>
    </font>
    <font>
      <sz val="11"/>
      <color theme="0"/>
      <name val="Calibri"/>
      <family val="2"/>
      <scheme val="minor"/>
    </font>
    <font>
      <sz val="9"/>
      <color indexed="81"/>
      <name val="Tahoma"/>
      <charset val="1"/>
    </font>
    <font>
      <sz val="9"/>
      <name val="Arial"/>
      <family val="2"/>
    </font>
  </fonts>
  <fills count="11">
    <fill>
      <patternFill patternType="none"/>
    </fill>
    <fill>
      <patternFill patternType="gray125"/>
    </fill>
    <fill>
      <patternFill patternType="solid">
        <fgColor rgb="FFEEEEEE"/>
        <bgColor auto="1"/>
      </patternFill>
    </fill>
    <fill>
      <patternFill patternType="solid">
        <fgColor rgb="FFFFFFFF"/>
        <bgColor auto="1"/>
      </patternFill>
    </fill>
    <fill>
      <patternFill patternType="solid">
        <fgColor rgb="FFFFFF00"/>
        <bgColor indexed="64"/>
      </patternFill>
    </fill>
    <fill>
      <patternFill patternType="solid">
        <fgColor theme="0"/>
        <bgColor indexed="64"/>
      </patternFill>
    </fill>
    <fill>
      <patternFill patternType="solid">
        <fgColor theme="4"/>
      </patternFill>
    </fill>
    <fill>
      <patternFill patternType="solid">
        <fgColor theme="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s>
  <borders count="24">
    <border>
      <left/>
      <right/>
      <top/>
      <bottom/>
      <diagonal/>
    </border>
    <border>
      <left style="thin">
        <color rgb="FFD0D7E5"/>
      </left>
      <right style="thin">
        <color rgb="FFD0D7E5"/>
      </right>
      <top style="thin">
        <color rgb="FFD0D7E5"/>
      </top>
      <bottom style="thin">
        <color rgb="FFD0D7E5"/>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rgb="FFD0D7E5"/>
      </right>
      <top style="thin">
        <color rgb="FFD0D7E5"/>
      </top>
      <bottom style="thin">
        <color rgb="FFD0D7E5"/>
      </bottom>
      <diagonal/>
    </border>
  </borders>
  <cellStyleXfs count="9">
    <xf numFmtId="0" fontId="0" fillId="0" borderId="0"/>
    <xf numFmtId="43"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5" fillId="6" borderId="0" applyNumberFormat="0" applyBorder="0" applyAlignment="0" applyProtection="0"/>
    <xf numFmtId="0" fontId="5"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cellStyleXfs>
  <cellXfs count="95">
    <xf numFmtId="0" fontId="0" fillId="0" borderId="0" xfId="0"/>
    <xf numFmtId="0" fontId="1" fillId="2" borderId="1" xfId="0" applyFont="1" applyFill="1" applyBorder="1" applyAlignment="1">
      <alignment horizontal="left" vertical="center" shrinkToFit="1"/>
    </xf>
    <xf numFmtId="0" fontId="1" fillId="3" borderId="1" xfId="0" applyFont="1" applyFill="1" applyBorder="1" applyAlignment="1">
      <alignment horizontal="left" vertical="center" shrinkToFit="1"/>
    </xf>
    <xf numFmtId="14" fontId="1" fillId="2" borderId="1" xfId="0" applyNumberFormat="1" applyFont="1" applyFill="1" applyBorder="1" applyAlignment="1">
      <alignment horizontal="right" vertical="center" shrinkToFit="1"/>
    </xf>
    <xf numFmtId="0" fontId="1" fillId="3" borderId="1" xfId="0" applyFont="1" applyFill="1" applyBorder="1" applyAlignment="1">
      <alignment horizontal="right" vertical="center" shrinkToFit="1"/>
    </xf>
    <xf numFmtId="0" fontId="2" fillId="3" borderId="1" xfId="0" applyFont="1" applyFill="1" applyBorder="1" applyAlignment="1">
      <alignment horizontal="left" vertical="center" indent="1" shrinkToFit="1"/>
    </xf>
    <xf numFmtId="3" fontId="1" fillId="3" borderId="1" xfId="0" applyNumberFormat="1" applyFont="1" applyFill="1" applyBorder="1" applyAlignment="1">
      <alignment horizontal="right" vertical="center" shrinkToFit="1"/>
    </xf>
    <xf numFmtId="0" fontId="2" fillId="3" borderId="1" xfId="0" applyFont="1" applyFill="1" applyBorder="1" applyAlignment="1">
      <alignment horizontal="right" vertical="center" shrinkToFit="1"/>
    </xf>
    <xf numFmtId="3" fontId="2" fillId="3" borderId="1" xfId="0" applyNumberFormat="1" applyFont="1" applyFill="1" applyBorder="1" applyAlignment="1">
      <alignment horizontal="right" vertical="center" shrinkToFit="1"/>
    </xf>
    <xf numFmtId="0" fontId="3" fillId="3" borderId="1" xfId="0" applyFont="1" applyFill="1" applyBorder="1" applyAlignment="1">
      <alignment horizontal="left" vertical="center" indent="2" shrinkToFit="1"/>
    </xf>
    <xf numFmtId="0" fontId="3" fillId="3" borderId="1" xfId="0" applyFont="1" applyFill="1" applyBorder="1" applyAlignment="1">
      <alignment horizontal="right" vertical="center" shrinkToFit="1"/>
    </xf>
    <xf numFmtId="0" fontId="2" fillId="3" borderId="1" xfId="0" applyFont="1" applyFill="1" applyBorder="1" applyAlignment="1">
      <alignment horizontal="left" vertical="center" indent="3" shrinkToFit="1"/>
    </xf>
    <xf numFmtId="0" fontId="1" fillId="3" borderId="1" xfId="0" applyFont="1" applyFill="1" applyBorder="1" applyAlignment="1">
      <alignment horizontal="left" vertical="center" indent="4" shrinkToFit="1"/>
    </xf>
    <xf numFmtId="3" fontId="3" fillId="3" borderId="1" xfId="0" applyNumberFormat="1" applyFont="1" applyFill="1" applyBorder="1" applyAlignment="1">
      <alignment horizontal="right" vertical="center" shrinkToFit="1"/>
    </xf>
    <xf numFmtId="3" fontId="0" fillId="0" borderId="0" xfId="0" applyNumberFormat="1"/>
    <xf numFmtId="165" fontId="0" fillId="0" borderId="0" xfId="1" applyNumberFormat="1" applyFont="1"/>
    <xf numFmtId="0" fontId="0" fillId="0" borderId="0" xfId="0" applyAlignment="1">
      <alignment horizontal="center" vertical="center"/>
    </xf>
    <xf numFmtId="165" fontId="0" fillId="0" borderId="0" xfId="1" applyNumberFormat="1" applyFont="1" applyAlignment="1">
      <alignment horizontal="center" vertical="center"/>
    </xf>
    <xf numFmtId="164" fontId="0" fillId="0" borderId="0" xfId="0" applyNumberFormat="1" applyAlignment="1">
      <alignment horizontal="center" vertical="center"/>
    </xf>
    <xf numFmtId="165" fontId="0" fillId="0" borderId="0" xfId="1" applyNumberFormat="1" applyFont="1" applyAlignment="1">
      <alignment vertical="center"/>
    </xf>
    <xf numFmtId="3" fontId="0" fillId="0" borderId="0" xfId="0" applyNumberFormat="1" applyAlignment="1">
      <alignment horizontal="center" vertical="center"/>
    </xf>
    <xf numFmtId="9" fontId="0" fillId="0" borderId="0" xfId="2" applyFont="1" applyAlignment="1">
      <alignment horizontal="center" vertical="center"/>
    </xf>
    <xf numFmtId="43" fontId="0" fillId="0" borderId="0" xfId="1" applyFont="1" applyAlignment="1">
      <alignment horizontal="center" vertical="center"/>
    </xf>
    <xf numFmtId="0" fontId="0" fillId="5" borderId="0" xfId="0" applyFill="1" applyAlignment="1">
      <alignment vertical="center"/>
    </xf>
    <xf numFmtId="166" fontId="0" fillId="0" borderId="0" xfId="1" applyNumberFormat="1" applyFont="1" applyAlignment="1">
      <alignment horizontal="center" vertical="center"/>
    </xf>
    <xf numFmtId="166" fontId="0" fillId="0" borderId="0" xfId="0" applyNumberFormat="1"/>
    <xf numFmtId="166" fontId="0" fillId="0" borderId="0" xfId="1" applyNumberFormat="1" applyFont="1"/>
    <xf numFmtId="0" fontId="0" fillId="4" borderId="0" xfId="0" applyFill="1" applyAlignment="1">
      <alignment horizontal="center"/>
    </xf>
    <xf numFmtId="0" fontId="0" fillId="4" borderId="0" xfId="0" applyFill="1" applyAlignment="1">
      <alignment horizontal="center" vertical="center"/>
    </xf>
    <xf numFmtId="0" fontId="0" fillId="0" borderId="0" xfId="0" applyAlignment="1">
      <alignment horizontal="center"/>
    </xf>
    <xf numFmtId="0" fontId="0" fillId="0" borderId="2" xfId="0" applyBorder="1" applyAlignment="1">
      <alignment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2" fontId="0" fillId="0" borderId="13" xfId="0" applyNumberFormat="1" applyBorder="1" applyAlignment="1">
      <alignment horizontal="center" vertical="center"/>
    </xf>
    <xf numFmtId="2" fontId="0" fillId="0" borderId="4" xfId="0" applyNumberFormat="1" applyBorder="1" applyAlignment="1">
      <alignment horizontal="center" vertical="center"/>
    </xf>
    <xf numFmtId="2" fontId="0" fillId="0" borderId="3" xfId="0" applyNumberFormat="1" applyBorder="1" applyAlignment="1">
      <alignment horizontal="center" vertical="center"/>
    </xf>
    <xf numFmtId="2" fontId="0" fillId="0" borderId="14" xfId="0" applyNumberFormat="1" applyBorder="1" applyAlignment="1">
      <alignment horizontal="center" vertical="center"/>
    </xf>
    <xf numFmtId="2" fontId="0" fillId="0" borderId="15" xfId="0" applyNumberFormat="1" applyBorder="1" applyAlignment="1">
      <alignment horizontal="center" vertical="center"/>
    </xf>
    <xf numFmtId="2" fontId="0" fillId="0" borderId="16" xfId="0" applyNumberFormat="1" applyBorder="1" applyAlignment="1">
      <alignment horizontal="center" vertical="center"/>
    </xf>
    <xf numFmtId="2" fontId="0" fillId="0" borderId="17" xfId="0" applyNumberFormat="1" applyBorder="1" applyAlignment="1">
      <alignment horizontal="center" vertical="center"/>
    </xf>
    <xf numFmtId="0" fontId="5" fillId="7" borderId="10" xfId="5" applyBorder="1" applyAlignment="1">
      <alignment horizontal="center" vertical="center"/>
    </xf>
    <xf numFmtId="0" fontId="5" fillId="7" borderId="11" xfId="5" applyBorder="1" applyAlignment="1">
      <alignment horizontal="center" vertical="center"/>
    </xf>
    <xf numFmtId="0" fontId="5" fillId="7" borderId="12" xfId="5" applyBorder="1" applyAlignment="1">
      <alignment horizontal="center" vertical="center"/>
    </xf>
    <xf numFmtId="0" fontId="5" fillId="6" borderId="7" xfId="4" applyBorder="1" applyAlignment="1">
      <alignment vertical="center"/>
    </xf>
    <xf numFmtId="0" fontId="5" fillId="6" borderId="5" xfId="4" applyBorder="1" applyAlignment="1">
      <alignment vertical="center"/>
    </xf>
    <xf numFmtId="0" fontId="5" fillId="6" borderId="6" xfId="4" applyBorder="1" applyAlignment="1">
      <alignment vertical="center"/>
    </xf>
    <xf numFmtId="9" fontId="0" fillId="0" borderId="0" xfId="2" applyFont="1"/>
    <xf numFmtId="0" fontId="0" fillId="0" borderId="18" xfId="0" applyBorder="1"/>
    <xf numFmtId="0" fontId="0" fillId="0" borderId="2" xfId="0" applyBorder="1" applyAlignment="1">
      <alignment horizontal="center" vertical="center"/>
    </xf>
    <xf numFmtId="0" fontId="5" fillId="6" borderId="7" xfId="4" applyBorder="1" applyAlignment="1">
      <alignment horizontal="center" vertical="center"/>
    </xf>
    <xf numFmtId="0" fontId="5" fillId="6" borderId="5" xfId="4" applyBorder="1" applyAlignment="1">
      <alignment horizontal="center" vertical="center"/>
    </xf>
    <xf numFmtId="0" fontId="5" fillId="6" borderId="6" xfId="4"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173" fontId="0" fillId="0" borderId="16" xfId="2" applyNumberFormat="1" applyFont="1" applyBorder="1" applyAlignment="1">
      <alignment horizontal="center"/>
    </xf>
    <xf numFmtId="173" fontId="0" fillId="0" borderId="17" xfId="2" applyNumberFormat="1" applyFont="1" applyBorder="1" applyAlignment="1">
      <alignment horizontal="center"/>
    </xf>
    <xf numFmtId="173" fontId="0" fillId="0" borderId="4" xfId="2" applyNumberFormat="1" applyFont="1" applyBorder="1" applyAlignment="1">
      <alignment horizontal="center" vertical="center"/>
    </xf>
    <xf numFmtId="173" fontId="0" fillId="0" borderId="3" xfId="2" applyNumberFormat="1" applyFont="1" applyBorder="1" applyAlignment="1">
      <alignment horizontal="center" vertical="center"/>
    </xf>
    <xf numFmtId="173" fontId="0" fillId="0" borderId="14" xfId="2" applyNumberFormat="1" applyFont="1" applyBorder="1" applyAlignment="1">
      <alignment horizontal="center" vertical="center"/>
    </xf>
    <xf numFmtId="173" fontId="0" fillId="0" borderId="15" xfId="2" applyNumberFormat="1" applyFont="1" applyBorder="1" applyAlignment="1">
      <alignment horizontal="center" vertical="center"/>
    </xf>
    <xf numFmtId="173" fontId="0" fillId="0" borderId="16" xfId="2" applyNumberFormat="1" applyFont="1" applyBorder="1" applyAlignment="1">
      <alignment horizontal="center" vertical="center"/>
    </xf>
    <xf numFmtId="173" fontId="0" fillId="0" borderId="17" xfId="2" applyNumberFormat="1" applyFont="1" applyBorder="1" applyAlignment="1">
      <alignment horizontal="center" vertical="center"/>
    </xf>
    <xf numFmtId="174" fontId="0" fillId="0" borderId="3" xfId="3" applyNumberFormat="1" applyFont="1" applyBorder="1"/>
    <xf numFmtId="3" fontId="7" fillId="3" borderId="23" xfId="0" applyNumberFormat="1" applyFont="1" applyFill="1" applyBorder="1" applyAlignment="1">
      <alignment horizontal="right" vertical="center" shrinkToFit="1"/>
    </xf>
    <xf numFmtId="3" fontId="1" fillId="3" borderId="23" xfId="0" applyNumberFormat="1" applyFont="1" applyFill="1" applyBorder="1" applyAlignment="1">
      <alignment horizontal="right" vertical="center" shrinkToFit="1"/>
    </xf>
    <xf numFmtId="0" fontId="0" fillId="0" borderId="19" xfId="0" applyBorder="1"/>
    <xf numFmtId="0" fontId="0" fillId="0" borderId="20" xfId="0" applyBorder="1"/>
    <xf numFmtId="0" fontId="0" fillId="0" borderId="22" xfId="0" applyBorder="1"/>
    <xf numFmtId="0" fontId="0" fillId="0" borderId="21" xfId="0" applyBorder="1"/>
    <xf numFmtId="174" fontId="0" fillId="0" borderId="14" xfId="3" applyNumberFormat="1" applyFont="1" applyBorder="1"/>
    <xf numFmtId="174" fontId="0" fillId="0" borderId="16" xfId="0" applyNumberFormat="1" applyBorder="1"/>
    <xf numFmtId="174" fontId="0" fillId="0" borderId="17" xfId="0" applyNumberFormat="1" applyBorder="1"/>
    <xf numFmtId="0" fontId="7" fillId="3" borderId="21" xfId="0" applyFont="1" applyFill="1" applyBorder="1" applyAlignment="1">
      <alignment horizontal="center" vertical="center" shrinkToFit="1"/>
    </xf>
    <xf numFmtId="3" fontId="7" fillId="3" borderId="3" xfId="0" applyNumberFormat="1" applyFont="1" applyFill="1" applyBorder="1" applyAlignment="1">
      <alignment horizontal="center" vertical="center" shrinkToFit="1"/>
    </xf>
    <xf numFmtId="3" fontId="7" fillId="3" borderId="14" xfId="0" applyNumberFormat="1" applyFont="1" applyFill="1" applyBorder="1" applyAlignment="1">
      <alignment horizontal="center" vertical="center" shrinkToFit="1"/>
    </xf>
    <xf numFmtId="0" fontId="1" fillId="3" borderId="21" xfId="0" applyFont="1" applyFill="1" applyBorder="1" applyAlignment="1">
      <alignment horizontal="center" vertical="center" shrinkToFit="1"/>
    </xf>
    <xf numFmtId="3" fontId="1" fillId="3" borderId="3" xfId="0" applyNumberFormat="1" applyFont="1" applyFill="1" applyBorder="1" applyAlignment="1">
      <alignment horizontal="center" vertical="center" shrinkToFit="1"/>
    </xf>
    <xf numFmtId="3" fontId="1" fillId="3" borderId="14" xfId="0" applyNumberFormat="1" applyFont="1" applyFill="1" applyBorder="1" applyAlignment="1">
      <alignment horizontal="center" vertical="center" shrinkToFit="1"/>
    </xf>
    <xf numFmtId="0" fontId="0" fillId="0" borderId="3" xfId="0" applyBorder="1" applyAlignment="1">
      <alignment horizontal="center" vertical="center"/>
    </xf>
    <xf numFmtId="0" fontId="0" fillId="0" borderId="21" xfId="0" applyBorder="1" applyAlignment="1">
      <alignment horizontal="center" vertical="center"/>
    </xf>
    <xf numFmtId="0" fontId="0" fillId="0" borderId="14" xfId="0" applyBorder="1" applyAlignment="1">
      <alignment horizontal="center" vertical="center"/>
    </xf>
    <xf numFmtId="0" fontId="4" fillId="8" borderId="21" xfId="6" applyBorder="1" applyAlignment="1">
      <alignment horizontal="center" vertical="center"/>
    </xf>
    <xf numFmtId="0" fontId="4" fillId="8" borderId="3" xfId="6" applyBorder="1" applyAlignment="1">
      <alignment horizontal="center" vertical="center"/>
    </xf>
    <xf numFmtId="0" fontId="4" fillId="8" borderId="14" xfId="6" applyBorder="1" applyAlignment="1">
      <alignment horizontal="center" vertical="center"/>
    </xf>
    <xf numFmtId="0" fontId="4" fillId="10" borderId="18" xfId="8" applyBorder="1" applyAlignment="1">
      <alignment horizontal="center" vertical="center"/>
    </xf>
    <xf numFmtId="0" fontId="4" fillId="10" borderId="19" xfId="8" applyBorder="1" applyAlignment="1">
      <alignment horizontal="center" vertical="center"/>
    </xf>
    <xf numFmtId="0" fontId="4" fillId="10" borderId="20" xfId="8" applyBorder="1" applyAlignment="1">
      <alignment horizontal="center" vertical="center"/>
    </xf>
    <xf numFmtId="0" fontId="4" fillId="9" borderId="21" xfId="7" applyBorder="1" applyAlignment="1">
      <alignment horizontal="center" vertical="center"/>
    </xf>
    <xf numFmtId="0" fontId="4" fillId="9" borderId="22" xfId="7" applyBorder="1" applyAlignment="1">
      <alignment horizontal="center" vertical="center"/>
    </xf>
    <xf numFmtId="174" fontId="0" fillId="0" borderId="3" xfId="3" applyNumberFormat="1" applyFont="1" applyBorder="1" applyAlignment="1">
      <alignment horizontal="center" vertical="center"/>
    </xf>
    <xf numFmtId="174" fontId="0" fillId="0" borderId="14" xfId="3" applyNumberFormat="1" applyFont="1" applyBorder="1" applyAlignment="1">
      <alignment horizontal="center" vertical="center"/>
    </xf>
    <xf numFmtId="174" fontId="0" fillId="0" borderId="16" xfId="3" applyNumberFormat="1" applyFont="1" applyBorder="1" applyAlignment="1">
      <alignment horizontal="center" vertical="center"/>
    </xf>
    <xf numFmtId="174" fontId="0" fillId="0" borderId="17" xfId="3" applyNumberFormat="1" applyFont="1" applyBorder="1" applyAlignment="1">
      <alignment horizontal="center" vertical="center"/>
    </xf>
  </cellXfs>
  <cellStyles count="9">
    <cellStyle name="60% - Énfasis2" xfId="6" builtinId="36"/>
    <cellStyle name="60% - Énfasis3" xfId="7" builtinId="40"/>
    <cellStyle name="60% - Énfasis4" xfId="8" builtinId="44"/>
    <cellStyle name="Énfasis1" xfId="4" builtinId="29"/>
    <cellStyle name="Énfasis2" xfId="5" builtinId="33"/>
    <cellStyle name="Millares" xfId="1" builtinId="3"/>
    <cellStyle name="Moneda" xfId="3"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Liquidez en el tiempo</a:t>
            </a:r>
          </a:p>
        </c:rich>
      </c:tx>
      <c:layout>
        <c:manualLayout>
          <c:xMode val="edge"/>
          <c:yMode val="edge"/>
          <c:x val="0.3569026684164479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1"/>
          <c:tx>
            <c:strRef>
              <c:f>Análisis!$A$3</c:f>
              <c:strCache>
                <c:ptCount val="1"/>
                <c:pt idx="0">
                  <c:v>Razón Corriente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Análisis!$B$2:$P$2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Análisis!$B$3:$P$3</c:f>
              <c:numCache>
                <c:formatCode>_-* #,##0.000_-;\-* #,##0.000_-;_-* "-"??_-;_-@_-</c:formatCode>
                <c:ptCount val="15"/>
                <c:pt idx="0">
                  <c:v>1.0087820035603194</c:v>
                </c:pt>
                <c:pt idx="1">
                  <c:v>0.92764629663894349</c:v>
                </c:pt>
                <c:pt idx="2">
                  <c:v>0.96247640458931871</c:v>
                </c:pt>
                <c:pt idx="3">
                  <c:v>1.1028868980548385</c:v>
                </c:pt>
                <c:pt idx="4">
                  <c:v>1.5031730993700296</c:v>
                </c:pt>
                <c:pt idx="5">
                  <c:v>1.1867179721769952</c:v>
                </c:pt>
                <c:pt idx="6">
                  <c:v>1.3330373250329353</c:v>
                </c:pt>
                <c:pt idx="7">
                  <c:v>1.1949634770758819</c:v>
                </c:pt>
                <c:pt idx="8">
                  <c:v>1.2305196346304024</c:v>
                </c:pt>
                <c:pt idx="9">
                  <c:v>1.5153545934184507</c:v>
                </c:pt>
                <c:pt idx="10">
                  <c:v>1.6912700026355489</c:v>
                </c:pt>
                <c:pt idx="11">
                  <c:v>1.1189108513062529</c:v>
                </c:pt>
                <c:pt idx="12">
                  <c:v>1.3115020080871889</c:v>
                </c:pt>
                <c:pt idx="13">
                  <c:v>1.1937721004573087</c:v>
                </c:pt>
              </c:numCache>
            </c:numRef>
          </c:val>
          <c:smooth val="0"/>
          <c:extLst>
            <c:ext xmlns:c16="http://schemas.microsoft.com/office/drawing/2014/chart" uri="{C3380CC4-5D6E-409C-BE32-E72D297353CC}">
              <c16:uniqueId val="{00000001-4772-4F8C-ADEF-0623E08F09C4}"/>
            </c:ext>
          </c:extLst>
        </c:ser>
        <c:ser>
          <c:idx val="2"/>
          <c:order val="2"/>
          <c:tx>
            <c:strRef>
              <c:f>Análisis!$A$4</c:f>
              <c:strCache>
                <c:ptCount val="1"/>
                <c:pt idx="0">
                  <c:v>Liquidez Real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Análisis!$B$2:$P$2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Análisis!$B$4:$P$4</c:f>
              <c:numCache>
                <c:formatCode>0.000</c:formatCode>
                <c:ptCount val="15"/>
                <c:pt idx="0">
                  <c:v>0.86555239871126299</c:v>
                </c:pt>
                <c:pt idx="1">
                  <c:v>0.75375889780753358</c:v>
                </c:pt>
                <c:pt idx="2">
                  <c:v>0.79257689427034417</c:v>
                </c:pt>
                <c:pt idx="3">
                  <c:v>0.74179233596902405</c:v>
                </c:pt>
                <c:pt idx="4">
                  <c:v>1.2311652159316355</c:v>
                </c:pt>
                <c:pt idx="5">
                  <c:v>0.84961385574643478</c:v>
                </c:pt>
                <c:pt idx="6">
                  <c:v>0.8260437183824012</c:v>
                </c:pt>
                <c:pt idx="7">
                  <c:v>0.84797178491899472</c:v>
                </c:pt>
                <c:pt idx="8">
                  <c:v>0.96845904678336647</c:v>
                </c:pt>
                <c:pt idx="9">
                  <c:v>1.3553248437474485</c:v>
                </c:pt>
                <c:pt idx="10">
                  <c:v>1.4337303991605301</c:v>
                </c:pt>
                <c:pt idx="11">
                  <c:v>0.99302051463807406</c:v>
                </c:pt>
                <c:pt idx="12">
                  <c:v>0.97900694022147505</c:v>
                </c:pt>
                <c:pt idx="13">
                  <c:v>1.0932568811879284</c:v>
                </c:pt>
              </c:numCache>
            </c:numRef>
          </c:val>
          <c:smooth val="0"/>
          <c:extLst>
            <c:ext xmlns:c16="http://schemas.microsoft.com/office/drawing/2014/chart" uri="{C3380CC4-5D6E-409C-BE32-E72D297353CC}">
              <c16:uniqueId val="{00000002-4772-4F8C-ADEF-0623E08F09C4}"/>
            </c:ext>
          </c:extLst>
        </c:ser>
        <c:ser>
          <c:idx val="3"/>
          <c:order val="3"/>
          <c:tx>
            <c:strRef>
              <c:f>Análisis!$A$5</c:f>
              <c:strCache>
                <c:ptCount val="1"/>
                <c:pt idx="0">
                  <c:v>Prueba Ácida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Análisis!$B$2:$P$2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Análisis!$B$5:$P$5</c:f>
              <c:numCache>
                <c:formatCode>0.000</c:formatCode>
                <c:ptCount val="15"/>
                <c:pt idx="0">
                  <c:v>0.91100835005509684</c:v>
                </c:pt>
                <c:pt idx="1">
                  <c:v>0.76762101392362858</c:v>
                </c:pt>
                <c:pt idx="2">
                  <c:v>0.8114305538306783</c:v>
                </c:pt>
                <c:pt idx="3">
                  <c:v>0.81089034890343781</c:v>
                </c:pt>
                <c:pt idx="4">
                  <c:v>1.3204921932985005</c:v>
                </c:pt>
                <c:pt idx="5">
                  <c:v>1.0252984224225286</c:v>
                </c:pt>
                <c:pt idx="6">
                  <c:v>1.174341896503009</c:v>
                </c:pt>
                <c:pt idx="7">
                  <c:v>1.039480492134254</c:v>
                </c:pt>
                <c:pt idx="8">
                  <c:v>1.048005793252291</c:v>
                </c:pt>
                <c:pt idx="9">
                  <c:v>1.4226329586781257</c:v>
                </c:pt>
                <c:pt idx="10">
                  <c:v>1.5957892335907908</c:v>
                </c:pt>
                <c:pt idx="11">
                  <c:v>1.014446805852051</c:v>
                </c:pt>
                <c:pt idx="12">
                  <c:v>1.2051070331288385</c:v>
                </c:pt>
                <c:pt idx="13">
                  <c:v>1.1133337552653317</c:v>
                </c:pt>
              </c:numCache>
            </c:numRef>
          </c:val>
          <c:smooth val="0"/>
          <c:extLst>
            <c:ext xmlns:c16="http://schemas.microsoft.com/office/drawing/2014/chart" uri="{C3380CC4-5D6E-409C-BE32-E72D297353CC}">
              <c16:uniqueId val="{00000003-4772-4F8C-ADEF-0623E08F09C4}"/>
            </c:ext>
          </c:extLst>
        </c:ser>
        <c:dLbls>
          <c:showLegendKey val="0"/>
          <c:showVal val="0"/>
          <c:showCatName val="0"/>
          <c:showSerName val="0"/>
          <c:showPercent val="0"/>
          <c:showBubbleSize val="0"/>
        </c:dLbls>
        <c:marker val="1"/>
        <c:smooth val="0"/>
        <c:axId val="1319822783"/>
        <c:axId val="1319819423"/>
        <c:extLst>
          <c:ext xmlns:c15="http://schemas.microsoft.com/office/drawing/2012/chart" uri="{02D57815-91ED-43cb-92C2-25804820EDAC}">
            <c15:filteredLineSeries>
              <c15:ser>
                <c:idx val="0"/>
                <c:order val="0"/>
                <c:tx>
                  <c:strRef>
                    <c:extLst>
                      <c:ext uri="{02D57815-91ED-43cb-92C2-25804820EDAC}">
                        <c15:formulaRef>
                          <c15:sqref>Análisis!$A$1</c15:sqref>
                        </c15:formulaRef>
                      </c:ext>
                    </c:extLst>
                    <c:strCache>
                      <c:ptCount val="1"/>
                      <c:pt idx="0">
                        <c:v>LIQUIDEZ</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Análisis!$B$2:$P$2</c15:sqref>
                        </c15:formulaRef>
                      </c:ext>
                    </c:extLst>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extLst>
                      <c:ext uri="{02D57815-91ED-43cb-92C2-25804820EDAC}">
                        <c15:formulaRef>
                          <c15:sqref>Análisis!$B$1:$P$1</c15:sqref>
                        </c15:formulaRef>
                      </c:ext>
                    </c:extLst>
                    <c:numCache>
                      <c:formatCode>General</c:formatCode>
                      <c:ptCount val="15"/>
                    </c:numCache>
                  </c:numRef>
                </c:val>
                <c:smooth val="0"/>
                <c:extLst>
                  <c:ext xmlns:c16="http://schemas.microsoft.com/office/drawing/2014/chart" uri="{C3380CC4-5D6E-409C-BE32-E72D297353CC}">
                    <c16:uniqueId val="{00000000-4772-4F8C-ADEF-0623E08F09C4}"/>
                  </c:ext>
                </c:extLst>
              </c15:ser>
            </c15:filteredLineSeries>
          </c:ext>
        </c:extLst>
      </c:lineChart>
      <c:catAx>
        <c:axId val="131982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9819423"/>
        <c:crosses val="autoZero"/>
        <c:auto val="1"/>
        <c:lblAlgn val="ctr"/>
        <c:lblOffset val="100"/>
        <c:noMultiLvlLbl val="0"/>
      </c:catAx>
      <c:valAx>
        <c:axId val="1319819423"/>
        <c:scaling>
          <c:orientation val="minMax"/>
        </c:scaling>
        <c:delete val="0"/>
        <c:axPos val="l"/>
        <c:majorGridlines>
          <c:spPr>
            <a:ln w="9525" cap="flat" cmpd="sng" algn="ctr">
              <a:solidFill>
                <a:schemeClr val="tx1">
                  <a:lumMod val="15000"/>
                  <a:lumOff val="85000"/>
                </a:schemeClr>
              </a:solidFill>
              <a:round/>
            </a:ln>
            <a:effectLst/>
          </c:spPr>
        </c:majorGridlines>
        <c:numFmt formatCode="_-* #,##0.000_-;\-* #,##0.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982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Endeudamiento y Cobertura en el Tiempo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Análisis!$A$28</c:f>
              <c:strCache>
                <c:ptCount val="1"/>
                <c:pt idx="0">
                  <c:v>Razón de Deuda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Análisis!$B$27:$P$27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Análisis!$B$28:$P$28</c:f>
              <c:numCache>
                <c:formatCode>0%</c:formatCode>
                <c:ptCount val="15"/>
                <c:pt idx="0">
                  <c:v>0.51562005995714089</c:v>
                </c:pt>
                <c:pt idx="1">
                  <c:v>0.50380607104760522</c:v>
                </c:pt>
                <c:pt idx="2">
                  <c:v>0.51983246026960284</c:v>
                </c:pt>
                <c:pt idx="3">
                  <c:v>0.6096124802141053</c:v>
                </c:pt>
                <c:pt idx="4">
                  <c:v>0.68497716906253581</c:v>
                </c:pt>
                <c:pt idx="5">
                  <c:v>0.7072140519708251</c:v>
                </c:pt>
                <c:pt idx="6">
                  <c:v>0.63743868305341456</c:v>
                </c:pt>
                <c:pt idx="7">
                  <c:v>0.64909689057257436</c:v>
                </c:pt>
                <c:pt idx="8">
                  <c:v>0.65531085761260621</c:v>
                </c:pt>
                <c:pt idx="9">
                  <c:v>0.68881392997998336</c:v>
                </c:pt>
                <c:pt idx="10">
                  <c:v>0.69141709246666361</c:v>
                </c:pt>
                <c:pt idx="11">
                  <c:v>0.72259468159556661</c:v>
                </c:pt>
                <c:pt idx="12">
                  <c:v>0.72217702818812002</c:v>
                </c:pt>
                <c:pt idx="13">
                  <c:v>0.7059931967263533</c:v>
                </c:pt>
              </c:numCache>
            </c:numRef>
          </c:val>
          <c:smooth val="0"/>
          <c:extLst>
            <c:ext xmlns:c16="http://schemas.microsoft.com/office/drawing/2014/chart" uri="{C3380CC4-5D6E-409C-BE32-E72D297353CC}">
              <c16:uniqueId val="{00000000-E2EB-4FE7-99D0-4802EF3537AC}"/>
            </c:ext>
          </c:extLst>
        </c:ser>
        <c:ser>
          <c:idx val="1"/>
          <c:order val="1"/>
          <c:tx>
            <c:strRef>
              <c:f>Análisis!$A$29</c:f>
              <c:strCache>
                <c:ptCount val="1"/>
                <c:pt idx="0">
                  <c:v>Razón Deuda CP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Análisis!$B$27:$P$27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Análisis!$B$29:$P$29</c:f>
              <c:numCache>
                <c:formatCode>0%</c:formatCode>
                <c:ptCount val="15"/>
                <c:pt idx="0">
                  <c:v>0.25272129329091042</c:v>
                </c:pt>
                <c:pt idx="1">
                  <c:v>0.25305385476746478</c:v>
                </c:pt>
                <c:pt idx="2">
                  <c:v>0.25914842715377479</c:v>
                </c:pt>
                <c:pt idx="3">
                  <c:v>0.22830384388515815</c:v>
                </c:pt>
                <c:pt idx="4">
                  <c:v>0.19315754033375482</c:v>
                </c:pt>
                <c:pt idx="5">
                  <c:v>0.17929409382944417</c:v>
                </c:pt>
                <c:pt idx="6">
                  <c:v>0.16551111098831692</c:v>
                </c:pt>
                <c:pt idx="7">
                  <c:v>0.17664994911918222</c:v>
                </c:pt>
                <c:pt idx="8">
                  <c:v>0.16617234104792389</c:v>
                </c:pt>
                <c:pt idx="9">
                  <c:v>0.17235758830522294</c:v>
                </c:pt>
                <c:pt idx="10">
                  <c:v>0.16654720528595332</c:v>
                </c:pt>
                <c:pt idx="11">
                  <c:v>0.21400028130560306</c:v>
                </c:pt>
                <c:pt idx="12">
                  <c:v>0.20231456306435863</c:v>
                </c:pt>
                <c:pt idx="13">
                  <c:v>0.23461413595949274</c:v>
                </c:pt>
              </c:numCache>
            </c:numRef>
          </c:val>
          <c:smooth val="0"/>
          <c:extLst>
            <c:ext xmlns:c16="http://schemas.microsoft.com/office/drawing/2014/chart" uri="{C3380CC4-5D6E-409C-BE32-E72D297353CC}">
              <c16:uniqueId val="{00000001-E2EB-4FE7-99D0-4802EF3537AC}"/>
            </c:ext>
          </c:extLst>
        </c:ser>
        <c:ser>
          <c:idx val="2"/>
          <c:order val="2"/>
          <c:tx>
            <c:strRef>
              <c:f>Análisis!$A$30</c:f>
              <c:strCache>
                <c:ptCount val="1"/>
                <c:pt idx="0">
                  <c:v>Leverage Financiero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Análisis!$B$27:$P$27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Análisis!$B$30:$P$30</c:f>
              <c:numCache>
                <c:formatCode>0%</c:formatCode>
                <c:ptCount val="15"/>
                <c:pt idx="0">
                  <c:v>1.064495073663698</c:v>
                </c:pt>
                <c:pt idx="1">
                  <c:v>1.0153410625383543</c:v>
                </c:pt>
                <c:pt idx="2">
                  <c:v>1.0826064180878965</c:v>
                </c:pt>
                <c:pt idx="3">
                  <c:v>1.5615572970889104</c:v>
                </c:pt>
                <c:pt idx="4">
                  <c:v>2.1743730986866536</c:v>
                </c:pt>
                <c:pt idx="5">
                  <c:v>2.4154644604062558</c:v>
                </c:pt>
                <c:pt idx="6">
                  <c:v>1.7581541473364786</c:v>
                </c:pt>
                <c:pt idx="7">
                  <c:v>1.8497895092229775</c:v>
                </c:pt>
                <c:pt idx="8">
                  <c:v>1.9011647801662017</c:v>
                </c:pt>
                <c:pt idx="9">
                  <c:v>2.2135114529248572</c:v>
                </c:pt>
                <c:pt idx="10">
                  <c:v>2.240620188569483</c:v>
                </c:pt>
                <c:pt idx="11">
                  <c:v>2.6048335545682835</c:v>
                </c:pt>
                <c:pt idx="12">
                  <c:v>2.5994143805974472</c:v>
                </c:pt>
                <c:pt idx="13">
                  <c:v>2.4012818372411959</c:v>
                </c:pt>
              </c:numCache>
            </c:numRef>
          </c:val>
          <c:smooth val="0"/>
          <c:extLst>
            <c:ext xmlns:c16="http://schemas.microsoft.com/office/drawing/2014/chart" uri="{C3380CC4-5D6E-409C-BE32-E72D297353CC}">
              <c16:uniqueId val="{00000002-E2EB-4FE7-99D0-4802EF3537AC}"/>
            </c:ext>
          </c:extLst>
        </c:ser>
        <c:ser>
          <c:idx val="3"/>
          <c:order val="3"/>
          <c:tx>
            <c:strRef>
              <c:f>Análisis!$A$31</c:f>
              <c:strCache>
                <c:ptCount val="1"/>
                <c:pt idx="0">
                  <c:v>Cobertura 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Análisis!$B$27:$P$27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Análisis!$B$31:$P$31</c:f>
              <c:numCache>
                <c:formatCode>0%</c:formatCode>
                <c:ptCount val="15"/>
                <c:pt idx="0">
                  <c:v>1.4284511083240869</c:v>
                </c:pt>
                <c:pt idx="1">
                  <c:v>1.5993464767465462</c:v>
                </c:pt>
                <c:pt idx="2">
                  <c:v>1.4804264544320185</c:v>
                </c:pt>
                <c:pt idx="3">
                  <c:v>1.0160561361277451</c:v>
                </c:pt>
                <c:pt idx="4">
                  <c:v>0.68221925198422517</c:v>
                </c:pt>
                <c:pt idx="5">
                  <c:v>0.64504753470229637</c:v>
                </c:pt>
                <c:pt idx="6">
                  <c:v>0.7608946635756586</c:v>
                </c:pt>
                <c:pt idx="7">
                  <c:v>0.75816400499211523</c:v>
                </c:pt>
                <c:pt idx="8">
                  <c:v>0.75317701394858039</c:v>
                </c:pt>
                <c:pt idx="9">
                  <c:v>1.0044205980558658</c:v>
                </c:pt>
                <c:pt idx="10">
                  <c:v>0.97205793611298641</c:v>
                </c:pt>
                <c:pt idx="11">
                  <c:v>0.92775907325993034</c:v>
                </c:pt>
                <c:pt idx="12">
                  <c:v>1.5807347057641243</c:v>
                </c:pt>
                <c:pt idx="13">
                  <c:v>0.95091404077472919</c:v>
                </c:pt>
              </c:numCache>
            </c:numRef>
          </c:val>
          <c:smooth val="0"/>
          <c:extLst>
            <c:ext xmlns:c16="http://schemas.microsoft.com/office/drawing/2014/chart" uri="{C3380CC4-5D6E-409C-BE32-E72D297353CC}">
              <c16:uniqueId val="{00000003-E2EB-4FE7-99D0-4802EF3537AC}"/>
            </c:ext>
          </c:extLst>
        </c:ser>
        <c:dLbls>
          <c:showLegendKey val="0"/>
          <c:showVal val="0"/>
          <c:showCatName val="0"/>
          <c:showSerName val="0"/>
          <c:showPercent val="0"/>
          <c:showBubbleSize val="0"/>
        </c:dLbls>
        <c:marker val="1"/>
        <c:smooth val="0"/>
        <c:axId val="1019664191"/>
        <c:axId val="1019664671"/>
      </c:lineChart>
      <c:catAx>
        <c:axId val="101966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19664671"/>
        <c:crosses val="autoZero"/>
        <c:auto val="1"/>
        <c:lblAlgn val="ctr"/>
        <c:lblOffset val="100"/>
        <c:noMultiLvlLbl val="0"/>
      </c:catAx>
      <c:valAx>
        <c:axId val="1019664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19664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Rotación de Activos en el tiempo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Análisis!$A$83</c:f>
              <c:strCache>
                <c:ptCount val="1"/>
                <c:pt idx="0">
                  <c:v>Rotación de Activos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Análisis!$B$57:$P$57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Análisis!$B$83:$P$83</c:f>
              <c:numCache>
                <c:formatCode>_-* #,##0.000_-;\-* #,##0.000_-;_-* "-"??_-;_-@_-</c:formatCode>
                <c:ptCount val="15"/>
                <c:pt idx="0">
                  <c:v>0.72759950995429523</c:v>
                </c:pt>
                <c:pt idx="1">
                  <c:v>0.78997893938060015</c:v>
                </c:pt>
                <c:pt idx="2">
                  <c:v>0.84359906271457219</c:v>
                </c:pt>
                <c:pt idx="3">
                  <c:v>0.72149383302376557</c:v>
                </c:pt>
                <c:pt idx="4">
                  <c:v>0.54129714518182237</c:v>
                </c:pt>
                <c:pt idx="5">
                  <c:v>0.54693171803871432</c:v>
                </c:pt>
                <c:pt idx="6">
                  <c:v>0.53662678284012388</c:v>
                </c:pt>
                <c:pt idx="7">
                  <c:v>0.55059480843149922</c:v>
                </c:pt>
                <c:pt idx="8">
                  <c:v>0.48261109733261004</c:v>
                </c:pt>
                <c:pt idx="9">
                  <c:v>0.3827825586696606</c:v>
                </c:pt>
                <c:pt idx="10">
                  <c:v>0.4280797743129634</c:v>
                </c:pt>
                <c:pt idx="11">
                  <c:v>0.44797312163792768</c:v>
                </c:pt>
                <c:pt idx="12">
                  <c:v>0.45407070530811866</c:v>
                </c:pt>
                <c:pt idx="13">
                  <c:v>0.43408104298296907</c:v>
                </c:pt>
              </c:numCache>
            </c:numRef>
          </c:val>
          <c:smooth val="0"/>
          <c:extLst>
            <c:ext xmlns:c16="http://schemas.microsoft.com/office/drawing/2014/chart" uri="{C3380CC4-5D6E-409C-BE32-E72D297353CC}">
              <c16:uniqueId val="{00000000-40B3-41E5-B87D-C63F7AADB6DB}"/>
            </c:ext>
          </c:extLst>
        </c:ser>
        <c:dLbls>
          <c:showLegendKey val="0"/>
          <c:showVal val="0"/>
          <c:showCatName val="0"/>
          <c:showSerName val="0"/>
          <c:showPercent val="0"/>
          <c:showBubbleSize val="0"/>
        </c:dLbls>
        <c:marker val="1"/>
        <c:smooth val="0"/>
        <c:axId val="1319827103"/>
        <c:axId val="1319828543"/>
      </c:lineChart>
      <c:catAx>
        <c:axId val="131982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9828543"/>
        <c:crosses val="autoZero"/>
        <c:auto val="1"/>
        <c:lblAlgn val="ctr"/>
        <c:lblOffset val="100"/>
        <c:noMultiLvlLbl val="0"/>
      </c:catAx>
      <c:valAx>
        <c:axId val="1319828543"/>
        <c:scaling>
          <c:orientation val="minMax"/>
        </c:scaling>
        <c:delete val="0"/>
        <c:axPos val="l"/>
        <c:majorGridlines>
          <c:spPr>
            <a:ln w="9525" cap="flat" cmpd="sng" algn="ctr">
              <a:solidFill>
                <a:schemeClr val="tx1">
                  <a:lumMod val="15000"/>
                  <a:lumOff val="85000"/>
                </a:schemeClr>
              </a:solidFill>
              <a:round/>
            </a:ln>
            <a:effectLst/>
          </c:spPr>
        </c:majorGridlines>
        <c:numFmt formatCode="_-* #,##0.000_-;\-* #,##0.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982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ROA</a:t>
            </a:r>
            <a:r>
              <a:rPr lang="es-ES" baseline="0"/>
              <a:t> y ROE en el Tiempo</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2"/>
          <c:order val="2"/>
          <c:tx>
            <c:strRef>
              <c:f>Análisis!$A$86</c:f>
              <c:strCache>
                <c:ptCount val="1"/>
                <c:pt idx="0">
                  <c:v>ROA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Análisis!$B$82:$P$82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Análisis!$B$86:$P$86</c:f>
              <c:numCache>
                <c:formatCode>0%</c:formatCode>
                <c:ptCount val="15"/>
                <c:pt idx="0">
                  <c:v>0.11614463939775269</c:v>
                </c:pt>
                <c:pt idx="1">
                  <c:v>0.11602377019966276</c:v>
                </c:pt>
                <c:pt idx="2">
                  <c:v>9.8683735349451407E-2</c:v>
                </c:pt>
                <c:pt idx="3">
                  <c:v>6.5116752311851628E-2</c:v>
                </c:pt>
                <c:pt idx="4">
                  <c:v>1.8601550665830559E-2</c:v>
                </c:pt>
                <c:pt idx="5">
                  <c:v>-3.3772993153053125E-4</c:v>
                </c:pt>
                <c:pt idx="6">
                  <c:v>9.8143064019109039E-3</c:v>
                </c:pt>
                <c:pt idx="7">
                  <c:v>1.2300665017110872E-2</c:v>
                </c:pt>
                <c:pt idx="8">
                  <c:v>-5.9568137413595068E-3</c:v>
                </c:pt>
                <c:pt idx="9">
                  <c:v>2.98195757395581E-2</c:v>
                </c:pt>
                <c:pt idx="10">
                  <c:v>1.727875757760567E-2</c:v>
                </c:pt>
                <c:pt idx="11">
                  <c:v>1.383760628725348E-2</c:v>
                </c:pt>
                <c:pt idx="12">
                  <c:v>8.1637006212190333E-2</c:v>
                </c:pt>
                <c:pt idx="13">
                  <c:v>1.5597339306180709E-2</c:v>
                </c:pt>
              </c:numCache>
            </c:numRef>
          </c:val>
          <c:smooth val="0"/>
          <c:extLst>
            <c:ext xmlns:c16="http://schemas.microsoft.com/office/drawing/2014/chart" uri="{C3380CC4-5D6E-409C-BE32-E72D297353CC}">
              <c16:uniqueId val="{00000002-C9D4-4D17-95E9-25E7CCF240B2}"/>
            </c:ext>
          </c:extLst>
        </c:ser>
        <c:ser>
          <c:idx val="3"/>
          <c:order val="3"/>
          <c:tx>
            <c:strRef>
              <c:f>Análisis!$A$87</c:f>
              <c:strCache>
                <c:ptCount val="1"/>
                <c:pt idx="0">
                  <c:v>ROA(2)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Análisis!$B$82:$P$82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Análisis!$B$87:$P$87</c:f>
              <c:numCache>
                <c:formatCode>0%</c:formatCode>
                <c:ptCount val="15"/>
                <c:pt idx="0">
                  <c:v>0.13930961410920187</c:v>
                </c:pt>
                <c:pt idx="1">
                  <c:v>0.14739416790583076</c:v>
                </c:pt>
                <c:pt idx="2">
                  <c:v>0.12525372308177046</c:v>
                </c:pt>
                <c:pt idx="3">
                  <c:v>8.7620537971705659E-2</c:v>
                </c:pt>
                <c:pt idx="4">
                  <c:v>3.4162151341791201E-2</c:v>
                </c:pt>
                <c:pt idx="5">
                  <c:v>1.7498243912969301E-2</c:v>
                </c:pt>
                <c:pt idx="6">
                  <c:v>2.5388180468817766E-2</c:v>
                </c:pt>
                <c:pt idx="7">
                  <c:v>3.004694953921682E-2</c:v>
                </c:pt>
                <c:pt idx="8">
                  <c:v>1.9030300789131892E-2</c:v>
                </c:pt>
                <c:pt idx="9">
                  <c:v>6.5338862953485871E-2</c:v>
                </c:pt>
                <c:pt idx="10">
                  <c:v>4.019478848819226E-2</c:v>
                </c:pt>
                <c:pt idx="11">
                  <c:v>4.2925745647598601E-2</c:v>
                </c:pt>
                <c:pt idx="12">
                  <c:v>0.11678415878691939</c:v>
                </c:pt>
                <c:pt idx="13">
                  <c:v>4.1038365744653096E-2</c:v>
                </c:pt>
              </c:numCache>
            </c:numRef>
          </c:val>
          <c:smooth val="0"/>
          <c:extLst>
            <c:ext xmlns:c16="http://schemas.microsoft.com/office/drawing/2014/chart" uri="{C3380CC4-5D6E-409C-BE32-E72D297353CC}">
              <c16:uniqueId val="{00000003-C9D4-4D17-95E9-25E7CCF240B2}"/>
            </c:ext>
          </c:extLst>
        </c:ser>
        <c:ser>
          <c:idx val="4"/>
          <c:order val="4"/>
          <c:tx>
            <c:strRef>
              <c:f>Análisis!$A$88</c:f>
              <c:strCache>
                <c:ptCount val="1"/>
                <c:pt idx="0">
                  <c:v>ROA(3)</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Análisis!$B$82:$P$82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Análisis!$B$88:$P$88</c:f>
              <c:numCache>
                <c:formatCode>0%</c:formatCode>
                <c:ptCount val="15"/>
                <c:pt idx="0">
                  <c:v>0.29589560746481475</c:v>
                </c:pt>
                <c:pt idx="1">
                  <c:v>0.32056249178545576</c:v>
                </c:pt>
                <c:pt idx="2">
                  <c:v>0.30815833713956947</c:v>
                </c:pt>
                <c:pt idx="3">
                  <c:v>0.19624764234586289</c:v>
                </c:pt>
                <c:pt idx="4">
                  <c:v>0.11309872057277109</c:v>
                </c:pt>
                <c:pt idx="5">
                  <c:v>0.10135646880949736</c:v>
                </c:pt>
                <c:pt idx="6">
                  <c:v>0.11146475530179402</c:v>
                </c:pt>
                <c:pt idx="7">
                  <c:v>0.11955220777250132</c:v>
                </c:pt>
                <c:pt idx="8">
                  <c:v>0.10267001390601323</c:v>
                </c:pt>
                <c:pt idx="9">
                  <c:v>0.14709764834718136</c:v>
                </c:pt>
                <c:pt idx="10">
                  <c:v>0.1358153276883699</c:v>
                </c:pt>
                <c:pt idx="11">
                  <c:v>0.1290945358607534</c:v>
                </c:pt>
                <c:pt idx="12">
                  <c:v>0.20936444271525115</c:v>
                </c:pt>
                <c:pt idx="13">
                  <c:v>0.12950476653614396</c:v>
                </c:pt>
              </c:numCache>
            </c:numRef>
          </c:val>
          <c:smooth val="0"/>
          <c:extLst>
            <c:ext xmlns:c16="http://schemas.microsoft.com/office/drawing/2014/chart" uri="{C3380CC4-5D6E-409C-BE32-E72D297353CC}">
              <c16:uniqueId val="{00000004-C9D4-4D17-95E9-25E7CCF240B2}"/>
            </c:ext>
          </c:extLst>
        </c:ser>
        <c:ser>
          <c:idx val="5"/>
          <c:order val="5"/>
          <c:tx>
            <c:strRef>
              <c:f>Análisis!$A$89</c:f>
              <c:strCache>
                <c:ptCount val="1"/>
                <c:pt idx="0">
                  <c:v>ROE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Análisis!$B$82:$P$82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Análisis!$B$89:$P$89</c:f>
              <c:numCache>
                <c:formatCode>0%</c:formatCode>
                <c:ptCount val="15"/>
                <c:pt idx="0">
                  <c:v>0.23978003586910707</c:v>
                </c:pt>
                <c:pt idx="1">
                  <c:v>0.2338274683138942</c:v>
                </c:pt>
                <c:pt idx="2">
                  <c:v>0.20551938059965488</c:v>
                </c:pt>
                <c:pt idx="3">
                  <c:v>0.16680029204715471</c:v>
                </c:pt>
                <c:pt idx="4">
                  <c:v>5.9048262027469336E-2</c:v>
                </c:pt>
                <c:pt idx="5">
                  <c:v>-1.1535045783579677E-3</c:v>
                </c:pt>
                <c:pt idx="6">
                  <c:v>2.7069369905661507E-2</c:v>
                </c:pt>
                <c:pt idx="7">
                  <c:v>3.5054306122228637E-2</c:v>
                </c:pt>
                <c:pt idx="8">
                  <c:v>-1.7281698228442263E-2</c:v>
                </c:pt>
                <c:pt idx="9">
                  <c:v>9.5825548160430166E-2</c:v>
                </c:pt>
                <c:pt idx="10">
                  <c:v>5.5993890639386874E-2</c:v>
                </c:pt>
                <c:pt idx="11">
                  <c:v>4.988226745919639E-2</c:v>
                </c:pt>
                <c:pt idx="12">
                  <c:v>0.293845414149081</c:v>
                </c:pt>
                <c:pt idx="13">
                  <c:v>5.3050946891400649E-2</c:v>
                </c:pt>
              </c:numCache>
            </c:numRef>
          </c:val>
          <c:smooth val="0"/>
          <c:extLst>
            <c:ext xmlns:c16="http://schemas.microsoft.com/office/drawing/2014/chart" uri="{C3380CC4-5D6E-409C-BE32-E72D297353CC}">
              <c16:uniqueId val="{00000005-C9D4-4D17-95E9-25E7CCF240B2}"/>
            </c:ext>
          </c:extLst>
        </c:ser>
        <c:dLbls>
          <c:showLegendKey val="0"/>
          <c:showVal val="0"/>
          <c:showCatName val="0"/>
          <c:showSerName val="0"/>
          <c:showPercent val="0"/>
          <c:showBubbleSize val="0"/>
        </c:dLbls>
        <c:marker val="1"/>
        <c:smooth val="0"/>
        <c:axId val="1018500303"/>
        <c:axId val="1020267071"/>
        <c:extLst>
          <c:ext xmlns:c15="http://schemas.microsoft.com/office/drawing/2012/chart" uri="{02D57815-91ED-43cb-92C2-25804820EDAC}">
            <c15:filteredLineSeries>
              <c15:ser>
                <c:idx val="0"/>
                <c:order val="0"/>
                <c:tx>
                  <c:strRef>
                    <c:extLst>
                      <c:ext uri="{02D57815-91ED-43cb-92C2-25804820EDAC}">
                        <c15:formulaRef>
                          <c15:sqref>Análisis!$A$84</c15:sqref>
                        </c15:formulaRef>
                      </c:ext>
                    </c:extLst>
                    <c:strCache>
                      <c:ptCount val="1"/>
                      <c:pt idx="0">
                        <c:v>Margen Operacional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Análisis!$B$82:$P$82</c15:sqref>
                        </c15:formulaRef>
                      </c:ext>
                    </c:extLst>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extLst>
                      <c:ext uri="{02D57815-91ED-43cb-92C2-25804820EDAC}">
                        <c15:formulaRef>
                          <c15:sqref>Análisis!$B$84:$P$84</c15:sqref>
                        </c15:formulaRef>
                      </c:ext>
                    </c:extLst>
                    <c:numCache>
                      <c:formatCode>0%</c:formatCode>
                      <c:ptCount val="15"/>
                      <c:pt idx="0">
                        <c:v>0.43195255523944803</c:v>
                      </c:pt>
                      <c:pt idx="1">
                        <c:v>0.43606978327102791</c:v>
                      </c:pt>
                      <c:pt idx="2">
                        <c:v>0.39970055094185658</c:v>
                      </c:pt>
                      <c:pt idx="3">
                        <c:v>0.30700560802159693</c:v>
                      </c:pt>
                      <c:pt idx="4">
                        <c:v>0.24151308765858576</c:v>
                      </c:pt>
                      <c:pt idx="5">
                        <c:v>0.2241461434704613</c:v>
                      </c:pt>
                      <c:pt idx="6">
                        <c:v>0.2426925416764722</c:v>
                      </c:pt>
                      <c:pt idx="7">
                        <c:v>0.24355417109116143</c:v>
                      </c:pt>
                      <c:pt idx="8">
                        <c:v>0.25155990989847521</c:v>
                      </c:pt>
                      <c:pt idx="9">
                        <c:v>0.31228619720892059</c:v>
                      </c:pt>
                      <c:pt idx="10">
                        <c:v>0.33677422049253519</c:v>
                      </c:pt>
                      <c:pt idx="11">
                        <c:v>0.34069576511740646</c:v>
                      </c:pt>
                      <c:pt idx="12">
                        <c:v>0.30904239791743804</c:v>
                      </c:pt>
                      <c:pt idx="13">
                        <c:v>0.3138416883383528</c:v>
                      </c:pt>
                    </c:numCache>
                  </c:numRef>
                </c:val>
                <c:smooth val="0"/>
                <c:extLst>
                  <c:ext xmlns:c16="http://schemas.microsoft.com/office/drawing/2014/chart" uri="{C3380CC4-5D6E-409C-BE32-E72D297353CC}">
                    <c16:uniqueId val="{00000000-C9D4-4D17-95E9-25E7CCF240B2}"/>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Análisis!$A$85</c15:sqref>
                        </c15:formulaRef>
                      </c:ext>
                    </c:extLst>
                    <c:strCache>
                      <c:ptCount val="1"/>
                      <c:pt idx="0">
                        <c:v>Margen Neto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xmlns:c15="http://schemas.microsoft.com/office/drawing/2012/chart">
                      <c:ext xmlns:c15="http://schemas.microsoft.com/office/drawing/2012/chart" uri="{02D57815-91ED-43cb-92C2-25804820EDAC}">
                        <c15:formulaRef>
                          <c15:sqref>Análisis!$B$82:$P$82</c15:sqref>
                        </c15:formulaRef>
                      </c:ext>
                    </c:extLst>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extLst xmlns:c15="http://schemas.microsoft.com/office/drawing/2012/chart">
                      <c:ext xmlns:c15="http://schemas.microsoft.com/office/drawing/2012/chart" uri="{02D57815-91ED-43cb-92C2-25804820EDAC}">
                        <c15:formulaRef>
                          <c15:sqref>Análisis!$B$85:$P$85</c15:sqref>
                        </c15:formulaRef>
                      </c:ext>
                    </c:extLst>
                    <c:numCache>
                      <c:formatCode>0%</c:formatCode>
                      <c:ptCount val="15"/>
                      <c:pt idx="0">
                        <c:v>0.15962715451120688</c:v>
                      </c:pt>
                      <c:pt idx="1">
                        <c:v>0.1468694472926502</c:v>
                      </c:pt>
                      <c:pt idx="2">
                        <c:v>0.11697942744495508</c:v>
                      </c:pt>
                      <c:pt idx="3">
                        <c:v>9.0252680385289885E-2</c:v>
                      </c:pt>
                      <c:pt idx="4">
                        <c:v>3.436476772768176E-2</c:v>
                      </c:pt>
                      <c:pt idx="5">
                        <c:v>-6.174992606785061E-4</c:v>
                      </c:pt>
                      <c:pt idx="6">
                        <c:v>1.8288886644770505E-2</c:v>
                      </c:pt>
                      <c:pt idx="7">
                        <c:v>2.2340684708147273E-2</c:v>
                      </c:pt>
                      <c:pt idx="8">
                        <c:v>-1.2342885968190116E-2</c:v>
                      </c:pt>
                      <c:pt idx="9">
                        <c:v>7.790212762878844E-2</c:v>
                      </c:pt>
                      <c:pt idx="10">
                        <c:v>4.036340564170967E-2</c:v>
                      </c:pt>
                      <c:pt idx="11">
                        <c:v>3.0889367283150674E-2</c:v>
                      </c:pt>
                      <c:pt idx="12">
                        <c:v>0.17978919418902817</c:v>
                      </c:pt>
                      <c:pt idx="13">
                        <c:v>3.5931860094596813E-2</c:v>
                      </c:pt>
                    </c:numCache>
                  </c:numRef>
                </c:val>
                <c:smooth val="0"/>
                <c:extLst xmlns:c15="http://schemas.microsoft.com/office/drawing/2012/chart">
                  <c:ext xmlns:c16="http://schemas.microsoft.com/office/drawing/2014/chart" uri="{C3380CC4-5D6E-409C-BE32-E72D297353CC}">
                    <c16:uniqueId val="{00000001-C9D4-4D17-95E9-25E7CCF240B2}"/>
                  </c:ext>
                </c:extLst>
              </c15:ser>
            </c15:filteredLineSeries>
          </c:ext>
        </c:extLst>
      </c:lineChart>
      <c:catAx>
        <c:axId val="101850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20267071"/>
        <c:crosses val="autoZero"/>
        <c:auto val="1"/>
        <c:lblAlgn val="ctr"/>
        <c:lblOffset val="100"/>
        <c:noMultiLvlLbl val="0"/>
      </c:catAx>
      <c:valAx>
        <c:axId val="1020267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18500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Márgenes en el Tiempo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Análisis!$A$84</c:f>
              <c:strCache>
                <c:ptCount val="1"/>
                <c:pt idx="0">
                  <c:v>Margen Operacional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Análisis!$B$82:$O$82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Análisis!$B$84:$O$84</c:f>
              <c:numCache>
                <c:formatCode>0%</c:formatCode>
                <c:ptCount val="14"/>
                <c:pt idx="0">
                  <c:v>0.43195255523944803</c:v>
                </c:pt>
                <c:pt idx="1">
                  <c:v>0.43606978327102791</c:v>
                </c:pt>
                <c:pt idx="2">
                  <c:v>0.39970055094185658</c:v>
                </c:pt>
                <c:pt idx="3">
                  <c:v>0.30700560802159693</c:v>
                </c:pt>
                <c:pt idx="4">
                  <c:v>0.24151308765858576</c:v>
                </c:pt>
                <c:pt idx="5">
                  <c:v>0.2241461434704613</c:v>
                </c:pt>
                <c:pt idx="6">
                  <c:v>0.2426925416764722</c:v>
                </c:pt>
                <c:pt idx="7">
                  <c:v>0.24355417109116143</c:v>
                </c:pt>
                <c:pt idx="8">
                  <c:v>0.25155990989847521</c:v>
                </c:pt>
                <c:pt idx="9">
                  <c:v>0.31228619720892059</c:v>
                </c:pt>
                <c:pt idx="10">
                  <c:v>0.33677422049253519</c:v>
                </c:pt>
                <c:pt idx="11">
                  <c:v>0.34069576511740646</c:v>
                </c:pt>
                <c:pt idx="12">
                  <c:v>0.30904239791743804</c:v>
                </c:pt>
                <c:pt idx="13">
                  <c:v>0.3138416883383528</c:v>
                </c:pt>
              </c:numCache>
            </c:numRef>
          </c:val>
          <c:smooth val="0"/>
          <c:extLst>
            <c:ext xmlns:c16="http://schemas.microsoft.com/office/drawing/2014/chart" uri="{C3380CC4-5D6E-409C-BE32-E72D297353CC}">
              <c16:uniqueId val="{00000000-B6C9-4C0F-A60F-842E60053F2C}"/>
            </c:ext>
          </c:extLst>
        </c:ser>
        <c:ser>
          <c:idx val="1"/>
          <c:order val="1"/>
          <c:tx>
            <c:strRef>
              <c:f>Análisis!$A$85</c:f>
              <c:strCache>
                <c:ptCount val="1"/>
                <c:pt idx="0">
                  <c:v>Margen Neto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Análisis!$B$82:$O$82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Análisis!$B$85:$O$85</c:f>
              <c:numCache>
                <c:formatCode>0%</c:formatCode>
                <c:ptCount val="14"/>
                <c:pt idx="0">
                  <c:v>0.15962715451120688</c:v>
                </c:pt>
                <c:pt idx="1">
                  <c:v>0.1468694472926502</c:v>
                </c:pt>
                <c:pt idx="2">
                  <c:v>0.11697942744495508</c:v>
                </c:pt>
                <c:pt idx="3">
                  <c:v>9.0252680385289885E-2</c:v>
                </c:pt>
                <c:pt idx="4">
                  <c:v>3.436476772768176E-2</c:v>
                </c:pt>
                <c:pt idx="5">
                  <c:v>-6.174992606785061E-4</c:v>
                </c:pt>
                <c:pt idx="6">
                  <c:v>1.8288886644770505E-2</c:v>
                </c:pt>
                <c:pt idx="7">
                  <c:v>2.2340684708147273E-2</c:v>
                </c:pt>
                <c:pt idx="8">
                  <c:v>-1.2342885968190116E-2</c:v>
                </c:pt>
                <c:pt idx="9">
                  <c:v>7.790212762878844E-2</c:v>
                </c:pt>
                <c:pt idx="10">
                  <c:v>4.036340564170967E-2</c:v>
                </c:pt>
                <c:pt idx="11">
                  <c:v>3.0889367283150674E-2</c:v>
                </c:pt>
                <c:pt idx="12">
                  <c:v>0.17978919418902817</c:v>
                </c:pt>
                <c:pt idx="13">
                  <c:v>3.5931860094596813E-2</c:v>
                </c:pt>
              </c:numCache>
            </c:numRef>
          </c:val>
          <c:smooth val="0"/>
          <c:extLst>
            <c:ext xmlns:c16="http://schemas.microsoft.com/office/drawing/2014/chart" uri="{C3380CC4-5D6E-409C-BE32-E72D297353CC}">
              <c16:uniqueId val="{00000001-B6C9-4C0F-A60F-842E60053F2C}"/>
            </c:ext>
          </c:extLst>
        </c:ser>
        <c:dLbls>
          <c:showLegendKey val="0"/>
          <c:showVal val="0"/>
          <c:showCatName val="0"/>
          <c:showSerName val="0"/>
          <c:showPercent val="0"/>
          <c:showBubbleSize val="0"/>
        </c:dLbls>
        <c:marker val="1"/>
        <c:smooth val="0"/>
        <c:axId val="1413154335"/>
        <c:axId val="1413154815"/>
      </c:lineChart>
      <c:catAx>
        <c:axId val="141315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3154815"/>
        <c:crosses val="autoZero"/>
        <c:auto val="1"/>
        <c:lblAlgn val="ctr"/>
        <c:lblOffset val="100"/>
        <c:noMultiLvlLbl val="0"/>
      </c:catAx>
      <c:valAx>
        <c:axId val="1413154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315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UDI y</a:t>
            </a:r>
            <a:r>
              <a:rPr lang="es-ES" baseline="0"/>
              <a:t> EVA en el tiempo</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Análisis!$A$115</c:f>
              <c:strCache>
                <c:ptCount val="1"/>
                <c:pt idx="0">
                  <c:v>UDI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Análisis!$B$82:$P$82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Análisis!$B$115:$P$115</c:f>
              <c:numCache>
                <c:formatCode>_-* #,##0_-;\-* #,##0_-;_-* "-"??_-;_-@_-</c:formatCode>
                <c:ptCount val="15"/>
                <c:pt idx="0">
                  <c:v>172971209</c:v>
                </c:pt>
                <c:pt idx="1">
                  <c:v>180766659</c:v>
                </c:pt>
                <c:pt idx="2">
                  <c:v>167294116</c:v>
                </c:pt>
                <c:pt idx="3">
                  <c:v>146965254</c:v>
                </c:pt>
                <c:pt idx="4">
                  <c:v>56470502</c:v>
                </c:pt>
                <c:pt idx="5">
                  <c:v>-1101997</c:v>
                </c:pt>
                <c:pt idx="6">
                  <c:v>34158100</c:v>
                </c:pt>
                <c:pt idx="7">
                  <c:v>43409541</c:v>
                </c:pt>
                <c:pt idx="8">
                  <c:v>-23614092</c:v>
                </c:pt>
                <c:pt idx="9">
                  <c:v>154152106</c:v>
                </c:pt>
                <c:pt idx="10">
                  <c:v>84466248</c:v>
                </c:pt>
                <c:pt idx="11">
                  <c:v>74975311</c:v>
                </c:pt>
                <c:pt idx="12">
                  <c:v>456787332</c:v>
                </c:pt>
                <c:pt idx="13">
                  <c:v>88884366</c:v>
                </c:pt>
                <c:pt idx="14">
                  <c:v>-20431517</c:v>
                </c:pt>
              </c:numCache>
            </c:numRef>
          </c:val>
          <c:smooth val="0"/>
          <c:extLst>
            <c:ext xmlns:c16="http://schemas.microsoft.com/office/drawing/2014/chart" uri="{C3380CC4-5D6E-409C-BE32-E72D297353CC}">
              <c16:uniqueId val="{00000000-361C-43C7-AAC1-47B61EED4C29}"/>
            </c:ext>
          </c:extLst>
        </c:ser>
        <c:ser>
          <c:idx val="1"/>
          <c:order val="1"/>
          <c:tx>
            <c:strRef>
              <c:f>Análisis!$A$116</c:f>
              <c:strCache>
                <c:ptCount val="1"/>
                <c:pt idx="0">
                  <c:v>EVA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Análisis!$B$82:$P$82</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Análisis!$B$116:$P$116</c:f>
              <c:numCache>
                <c:formatCode>#,##0</c:formatCode>
                <c:ptCount val="15"/>
                <c:pt idx="0">
                  <c:v>164563515</c:v>
                </c:pt>
                <c:pt idx="1">
                  <c:v>171907944</c:v>
                </c:pt>
                <c:pt idx="2">
                  <c:v>153716083</c:v>
                </c:pt>
                <c:pt idx="3">
                  <c:v>123693559</c:v>
                </c:pt>
                <c:pt idx="4">
                  <c:v>-4763869</c:v>
                </c:pt>
                <c:pt idx="5">
                  <c:v>-72046891</c:v>
                </c:pt>
                <c:pt idx="6">
                  <c:v>-48454399</c:v>
                </c:pt>
                <c:pt idx="7">
                  <c:v>-36750996</c:v>
                </c:pt>
                <c:pt idx="8">
                  <c:v>-101236277</c:v>
                </c:pt>
                <c:pt idx="9">
                  <c:v>-150682344</c:v>
                </c:pt>
                <c:pt idx="10">
                  <c:v>-59655058</c:v>
                </c:pt>
                <c:pt idx="11">
                  <c:v>-59785333</c:v>
                </c:pt>
                <c:pt idx="12">
                  <c:v>-201873034</c:v>
                </c:pt>
                <c:pt idx="13">
                  <c:v>-75710210</c:v>
                </c:pt>
                <c:pt idx="14">
                  <c:v>-47815460</c:v>
                </c:pt>
              </c:numCache>
            </c:numRef>
          </c:val>
          <c:smooth val="0"/>
          <c:extLst>
            <c:ext xmlns:c16="http://schemas.microsoft.com/office/drawing/2014/chart" uri="{C3380CC4-5D6E-409C-BE32-E72D297353CC}">
              <c16:uniqueId val="{00000001-361C-43C7-AAC1-47B61EED4C29}"/>
            </c:ext>
          </c:extLst>
        </c:ser>
        <c:dLbls>
          <c:showLegendKey val="0"/>
          <c:showVal val="0"/>
          <c:showCatName val="0"/>
          <c:showSerName val="0"/>
          <c:showPercent val="0"/>
          <c:showBubbleSize val="0"/>
        </c:dLbls>
        <c:marker val="1"/>
        <c:smooth val="0"/>
        <c:axId val="1319819903"/>
        <c:axId val="1319820863"/>
      </c:lineChart>
      <c:catAx>
        <c:axId val="131981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9820863"/>
        <c:crosses val="autoZero"/>
        <c:auto val="1"/>
        <c:lblAlgn val="ctr"/>
        <c:lblOffset val="100"/>
        <c:noMultiLvlLbl val="0"/>
      </c:catAx>
      <c:valAx>
        <c:axId val="131982086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981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UDI</a:t>
            </a:r>
            <a:r>
              <a:rPr lang="es-ES" baseline="0"/>
              <a:t> y EVA con IPC</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Análisis!$A$122</c:f>
              <c:strCache>
                <c:ptCount val="1"/>
                <c:pt idx="0">
                  <c:v>UDI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Análisis!$B$118:$P$118</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Análisis!$B$122:$P$122</c:f>
              <c:numCache>
                <c:formatCode>_-* #,##0_-;\-* #,##0_-;_-* "-"??_-;_-@_-</c:formatCode>
                <c:ptCount val="15"/>
                <c:pt idx="0">
                  <c:v>302526644.54100001</c:v>
                </c:pt>
                <c:pt idx="1">
                  <c:v>302784153.82499999</c:v>
                </c:pt>
                <c:pt idx="2">
                  <c:v>276035291.39999998</c:v>
                </c:pt>
                <c:pt idx="3">
                  <c:v>235438336.90799999</c:v>
                </c:pt>
                <c:pt idx="4">
                  <c:v>86456338.562000006</c:v>
                </c:pt>
                <c:pt idx="5">
                  <c:v>-1616629.5990000002</c:v>
                </c:pt>
                <c:pt idx="6">
                  <c:v>48777766.799999997</c:v>
                </c:pt>
                <c:pt idx="7">
                  <c:v>60599719.235999994</c:v>
                </c:pt>
                <c:pt idx="8">
                  <c:v>-32162393.304000001</c:v>
                </c:pt>
                <c:pt idx="9">
                  <c:v>203789084.132</c:v>
                </c:pt>
                <c:pt idx="10">
                  <c:v>108454662.432</c:v>
                </c:pt>
                <c:pt idx="11">
                  <c:v>89820422.577999994</c:v>
                </c:pt>
                <c:pt idx="12">
                  <c:v>485108146.58400005</c:v>
                </c:pt>
                <c:pt idx="13">
                  <c:v>90839822.052000001</c:v>
                </c:pt>
                <c:pt idx="14">
                  <c:v>-20533674.584999997</c:v>
                </c:pt>
              </c:numCache>
            </c:numRef>
          </c:val>
          <c:smooth val="0"/>
          <c:extLst>
            <c:ext xmlns:c16="http://schemas.microsoft.com/office/drawing/2014/chart" uri="{C3380CC4-5D6E-409C-BE32-E72D297353CC}">
              <c16:uniqueId val="{00000000-5494-42D4-9398-45BB92885F20}"/>
            </c:ext>
          </c:extLst>
        </c:ser>
        <c:ser>
          <c:idx val="1"/>
          <c:order val="1"/>
          <c:tx>
            <c:strRef>
              <c:f>Análisis!$A$123</c:f>
              <c:strCache>
                <c:ptCount val="1"/>
                <c:pt idx="0">
                  <c:v>EVA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Análisis!$B$118:$P$118</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Análisis!$B$123:$P$123</c:f>
              <c:numCache>
                <c:formatCode>_-* #,##0_-;\-* #,##0_-;_-* "-"??_-;_-@_-</c:formatCode>
                <c:ptCount val="15"/>
                <c:pt idx="0">
                  <c:v>287821587.73500001</c:v>
                </c:pt>
                <c:pt idx="1">
                  <c:v>287945806.19999999</c:v>
                </c:pt>
                <c:pt idx="2">
                  <c:v>253631536.94999999</c:v>
                </c:pt>
                <c:pt idx="3">
                  <c:v>198157081.51799998</c:v>
                </c:pt>
                <c:pt idx="4">
                  <c:v>-7293483.4390000002</c:v>
                </c:pt>
                <c:pt idx="5">
                  <c:v>-105692789.097</c:v>
                </c:pt>
                <c:pt idx="6">
                  <c:v>-69192881.772</c:v>
                </c:pt>
                <c:pt idx="7">
                  <c:v>-51304390.415999994</c:v>
                </c:pt>
                <c:pt idx="8">
                  <c:v>-137883809.27400002</c:v>
                </c:pt>
                <c:pt idx="9">
                  <c:v>-199202058.76800001</c:v>
                </c:pt>
                <c:pt idx="10">
                  <c:v>-76597094.472000003</c:v>
                </c:pt>
                <c:pt idx="11">
                  <c:v>-71622828.934</c:v>
                </c:pt>
                <c:pt idx="12">
                  <c:v>-214389162.10800001</c:v>
                </c:pt>
                <c:pt idx="13">
                  <c:v>-77375834.620000005</c:v>
                </c:pt>
                <c:pt idx="14">
                  <c:v>-48054537.299999997</c:v>
                </c:pt>
              </c:numCache>
            </c:numRef>
          </c:val>
          <c:smooth val="0"/>
          <c:extLst>
            <c:ext xmlns:c16="http://schemas.microsoft.com/office/drawing/2014/chart" uri="{C3380CC4-5D6E-409C-BE32-E72D297353CC}">
              <c16:uniqueId val="{00000001-5494-42D4-9398-45BB92885F20}"/>
            </c:ext>
          </c:extLst>
        </c:ser>
        <c:dLbls>
          <c:showLegendKey val="0"/>
          <c:showVal val="0"/>
          <c:showCatName val="0"/>
          <c:showSerName val="0"/>
          <c:showPercent val="0"/>
          <c:showBubbleSize val="0"/>
        </c:dLbls>
        <c:marker val="1"/>
        <c:smooth val="0"/>
        <c:axId val="1413207887"/>
        <c:axId val="1413196367"/>
      </c:lineChart>
      <c:catAx>
        <c:axId val="141320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3196367"/>
        <c:crosses val="autoZero"/>
        <c:auto val="1"/>
        <c:lblAlgn val="ctr"/>
        <c:lblOffset val="100"/>
        <c:noMultiLvlLbl val="0"/>
      </c:catAx>
      <c:valAx>
        <c:axId val="141319636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320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Análisis!$A$147</c:f>
              <c:strCache>
                <c:ptCount val="1"/>
                <c:pt idx="0">
                  <c:v>ACTIVOS</c:v>
                </c:pt>
              </c:strCache>
            </c:strRef>
          </c:tx>
          <c:spPr>
            <a:ln w="28575" cap="rnd">
              <a:solidFill>
                <a:schemeClr val="accent1"/>
              </a:solidFill>
              <a:round/>
            </a:ln>
            <a:effectLst/>
          </c:spPr>
          <c:marker>
            <c:symbol val="none"/>
          </c:marker>
          <c:cat>
            <c:numRef>
              <c:f>Análisis!$B$146:$O$146</c:f>
              <c:numCache>
                <c:formatCode>General</c:formatCode>
                <c:ptCount val="14"/>
                <c:pt idx="0">
                  <c:v>2010</c:v>
                </c:pt>
                <c:pt idx="3">
                  <c:v>2013</c:v>
                </c:pt>
                <c:pt idx="6">
                  <c:v>2016</c:v>
                </c:pt>
                <c:pt idx="9">
                  <c:v>2019</c:v>
                </c:pt>
                <c:pt idx="12">
                  <c:v>2022</c:v>
                </c:pt>
              </c:numCache>
            </c:numRef>
          </c:cat>
          <c:val>
            <c:numRef>
              <c:f>Análisis!$B$147:$O$147</c:f>
              <c:numCache>
                <c:formatCode>#,##0</c:formatCode>
                <c:ptCount val="14"/>
                <c:pt idx="0">
                  <c:v>1489274149</c:v>
                </c:pt>
                <c:pt idx="1">
                  <c:v>1558014006</c:v>
                </c:pt>
                <c:pt idx="2">
                  <c:v>1695255205</c:v>
                </c:pt>
                <c:pt idx="3">
                  <c:v>2256949998</c:v>
                </c:pt>
                <c:pt idx="4">
                  <c:v>3035795403</c:v>
                </c:pt>
                <c:pt idx="5">
                  <c:v>3262953316</c:v>
                </c:pt>
                <c:pt idx="6">
                  <c:v>3480439534</c:v>
                </c:pt>
                <c:pt idx="7">
                  <c:v>3529040173</c:v>
                </c:pt>
                <c:pt idx="8">
                  <c:v>3964215271</c:v>
                </c:pt>
                <c:pt idx="9">
                  <c:v>5169493602</c:v>
                </c:pt>
                <c:pt idx="10">
                  <c:v>4888444532</c:v>
                </c:pt>
                <c:pt idx="11">
                  <c:v>5418228373</c:v>
                </c:pt>
                <c:pt idx="12">
                  <c:v>5595346439</c:v>
                </c:pt>
                <c:pt idx="13">
                  <c:v>5698687722</c:v>
                </c:pt>
              </c:numCache>
            </c:numRef>
          </c:val>
          <c:smooth val="0"/>
          <c:extLst>
            <c:ext xmlns:c16="http://schemas.microsoft.com/office/drawing/2014/chart" uri="{C3380CC4-5D6E-409C-BE32-E72D297353CC}">
              <c16:uniqueId val="{00000000-8678-491A-BF59-41FD264E9264}"/>
            </c:ext>
          </c:extLst>
        </c:ser>
        <c:ser>
          <c:idx val="1"/>
          <c:order val="1"/>
          <c:tx>
            <c:strRef>
              <c:f>Análisis!$A$148</c:f>
              <c:strCache>
                <c:ptCount val="1"/>
                <c:pt idx="0">
                  <c:v>ACTIVOS CORRIENTES</c:v>
                </c:pt>
              </c:strCache>
            </c:strRef>
          </c:tx>
          <c:spPr>
            <a:ln w="28575" cap="rnd">
              <a:solidFill>
                <a:schemeClr val="accent2"/>
              </a:solidFill>
              <a:round/>
            </a:ln>
            <a:effectLst/>
          </c:spPr>
          <c:marker>
            <c:symbol val="none"/>
          </c:marker>
          <c:cat>
            <c:numRef>
              <c:f>Análisis!$B$146:$O$146</c:f>
              <c:numCache>
                <c:formatCode>General</c:formatCode>
                <c:ptCount val="14"/>
                <c:pt idx="0">
                  <c:v>2010</c:v>
                </c:pt>
                <c:pt idx="3">
                  <c:v>2013</c:v>
                </c:pt>
                <c:pt idx="6">
                  <c:v>2016</c:v>
                </c:pt>
                <c:pt idx="9">
                  <c:v>2019</c:v>
                </c:pt>
                <c:pt idx="12">
                  <c:v>2022</c:v>
                </c:pt>
              </c:numCache>
            </c:numRef>
          </c:cat>
          <c:val>
            <c:numRef>
              <c:f>Análisis!$B$148:$O$148</c:f>
              <c:numCache>
                <c:formatCode>#,##0</c:formatCode>
                <c:ptCount val="14"/>
                <c:pt idx="0">
                  <c:v>379676583</c:v>
                </c:pt>
                <c:pt idx="1">
                  <c:v>365735174</c:v>
                </c:pt>
                <c:pt idx="2">
                  <c:v>422837752</c:v>
                </c:pt>
                <c:pt idx="3">
                  <c:v>568284929</c:v>
                </c:pt>
                <c:pt idx="4">
                  <c:v>881440823</c:v>
                </c:pt>
                <c:pt idx="5">
                  <c:v>694263548</c:v>
                </c:pt>
                <c:pt idx="6">
                  <c:v>767898036</c:v>
                </c:pt>
                <c:pt idx="7">
                  <c:v>744945928</c:v>
                </c:pt>
                <c:pt idx="8">
                  <c:v>810596112</c:v>
                </c:pt>
                <c:pt idx="9">
                  <c:v>1350183140</c:v>
                </c:pt>
                <c:pt idx="10">
                  <c:v>1376958931</c:v>
                </c:pt>
                <c:pt idx="11">
                  <c:v>1297379813</c:v>
                </c:pt>
                <c:pt idx="12">
                  <c:v>1484646595</c:v>
                </c:pt>
                <c:pt idx="13">
                  <c:v>1596064579</c:v>
                </c:pt>
              </c:numCache>
            </c:numRef>
          </c:val>
          <c:smooth val="0"/>
          <c:extLst>
            <c:ext xmlns:c16="http://schemas.microsoft.com/office/drawing/2014/chart" uri="{C3380CC4-5D6E-409C-BE32-E72D297353CC}">
              <c16:uniqueId val="{00000001-8678-491A-BF59-41FD264E9264}"/>
            </c:ext>
          </c:extLst>
        </c:ser>
        <c:ser>
          <c:idx val="2"/>
          <c:order val="2"/>
          <c:tx>
            <c:strRef>
              <c:f>Análisis!$A$149</c:f>
              <c:strCache>
                <c:ptCount val="1"/>
                <c:pt idx="0">
                  <c:v>ACTIVOS NO CORRIENTES</c:v>
                </c:pt>
              </c:strCache>
            </c:strRef>
          </c:tx>
          <c:spPr>
            <a:ln w="28575" cap="rnd">
              <a:solidFill>
                <a:schemeClr val="accent3"/>
              </a:solidFill>
              <a:round/>
            </a:ln>
            <a:effectLst/>
          </c:spPr>
          <c:marker>
            <c:symbol val="none"/>
          </c:marker>
          <c:cat>
            <c:numRef>
              <c:f>Análisis!$B$146:$O$146</c:f>
              <c:numCache>
                <c:formatCode>General</c:formatCode>
                <c:ptCount val="14"/>
                <c:pt idx="0">
                  <c:v>2010</c:v>
                </c:pt>
                <c:pt idx="3">
                  <c:v>2013</c:v>
                </c:pt>
                <c:pt idx="6">
                  <c:v>2016</c:v>
                </c:pt>
                <c:pt idx="9">
                  <c:v>2019</c:v>
                </c:pt>
                <c:pt idx="12">
                  <c:v>2022</c:v>
                </c:pt>
              </c:numCache>
            </c:numRef>
          </c:cat>
          <c:val>
            <c:numRef>
              <c:f>Análisis!$B$149:$O$149</c:f>
              <c:numCache>
                <c:formatCode>#,##0</c:formatCode>
                <c:ptCount val="14"/>
                <c:pt idx="0">
                  <c:v>1109597566</c:v>
                </c:pt>
                <c:pt idx="1">
                  <c:v>1192278832</c:v>
                </c:pt>
                <c:pt idx="2">
                  <c:v>1272417453</c:v>
                </c:pt>
                <c:pt idx="3">
                  <c:v>1688665069</c:v>
                </c:pt>
                <c:pt idx="4">
                  <c:v>2154354580</c:v>
                </c:pt>
                <c:pt idx="5">
                  <c:v>2568689768</c:v>
                </c:pt>
                <c:pt idx="6">
                  <c:v>2712541498</c:v>
                </c:pt>
                <c:pt idx="7">
                  <c:v>2784094245</c:v>
                </c:pt>
                <c:pt idx="8">
                  <c:v>3153619159</c:v>
                </c:pt>
                <c:pt idx="9">
                  <c:v>3819310462</c:v>
                </c:pt>
                <c:pt idx="10">
                  <c:v>3511485601</c:v>
                </c:pt>
                <c:pt idx="11">
                  <c:v>4120848560</c:v>
                </c:pt>
                <c:pt idx="12">
                  <c:v>4110699844</c:v>
                </c:pt>
                <c:pt idx="13">
                  <c:v>4102623143</c:v>
                </c:pt>
              </c:numCache>
            </c:numRef>
          </c:val>
          <c:smooth val="0"/>
          <c:extLst>
            <c:ext xmlns:c16="http://schemas.microsoft.com/office/drawing/2014/chart" uri="{C3380CC4-5D6E-409C-BE32-E72D297353CC}">
              <c16:uniqueId val="{00000002-8678-491A-BF59-41FD264E9264}"/>
            </c:ext>
          </c:extLst>
        </c:ser>
        <c:dLbls>
          <c:showLegendKey val="0"/>
          <c:showVal val="0"/>
          <c:showCatName val="0"/>
          <c:showSerName val="0"/>
          <c:showPercent val="0"/>
          <c:showBubbleSize val="0"/>
        </c:dLbls>
        <c:smooth val="0"/>
        <c:axId val="704706719"/>
        <c:axId val="704714879"/>
      </c:lineChart>
      <c:catAx>
        <c:axId val="70470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04714879"/>
        <c:crosses val="autoZero"/>
        <c:auto val="1"/>
        <c:lblAlgn val="ctr"/>
        <c:lblOffset val="100"/>
        <c:noMultiLvlLbl val="0"/>
      </c:catAx>
      <c:valAx>
        <c:axId val="704714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04706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Análisis!$A$162</c:f>
              <c:strCache>
                <c:ptCount val="1"/>
                <c:pt idx="0">
                  <c:v>ANC/AT</c:v>
                </c:pt>
              </c:strCache>
            </c:strRef>
          </c:tx>
          <c:spPr>
            <a:ln w="28575" cap="rnd">
              <a:solidFill>
                <a:schemeClr val="accent1"/>
              </a:solidFill>
              <a:round/>
            </a:ln>
            <a:effectLst/>
          </c:spPr>
          <c:marker>
            <c:symbol val="none"/>
          </c:marker>
          <c:cat>
            <c:numRef>
              <c:f>Análisis!$B$161:$O$161</c:f>
              <c:numCache>
                <c:formatCode>General</c:formatCode>
                <c:ptCount val="14"/>
                <c:pt idx="0">
                  <c:v>2010</c:v>
                </c:pt>
                <c:pt idx="3">
                  <c:v>2013</c:v>
                </c:pt>
                <c:pt idx="6">
                  <c:v>2016</c:v>
                </c:pt>
                <c:pt idx="9">
                  <c:v>2019</c:v>
                </c:pt>
                <c:pt idx="12">
                  <c:v>2022</c:v>
                </c:pt>
              </c:numCache>
            </c:numRef>
          </c:cat>
          <c:val>
            <c:numRef>
              <c:f>Análisis!$B$162:$O$162</c:f>
              <c:numCache>
                <c:formatCode>0%</c:formatCode>
                <c:ptCount val="14"/>
                <c:pt idx="0">
                  <c:v>0.74505930741164028</c:v>
                </c:pt>
                <c:pt idx="1">
                  <c:v>0.76525552877475223</c:v>
                </c:pt>
                <c:pt idx="2">
                  <c:v>0.75057575357805784</c:v>
                </c:pt>
                <c:pt idx="3">
                  <c:v>0.74820668180350181</c:v>
                </c:pt>
                <c:pt idx="4">
                  <c:v>0.7096507814298183</c:v>
                </c:pt>
                <c:pt idx="5">
                  <c:v>0.78722847654741013</c:v>
                </c:pt>
                <c:pt idx="6">
                  <c:v>0.77936751134490478</c:v>
                </c:pt>
                <c:pt idx="7">
                  <c:v>0.78890976257526435</c:v>
                </c:pt>
                <c:pt idx="8">
                  <c:v>0.79552167160803011</c:v>
                </c:pt>
                <c:pt idx="9">
                  <c:v>0.73881713685115413</c:v>
                </c:pt>
                <c:pt idx="10">
                  <c:v>0.71832370767708242</c:v>
                </c:pt>
                <c:pt idx="11">
                  <c:v>0.76055276306457009</c:v>
                </c:pt>
                <c:pt idx="12">
                  <c:v>0.73466404427581145</c:v>
                </c:pt>
                <c:pt idx="13">
                  <c:v>0.71992419011865971</c:v>
                </c:pt>
              </c:numCache>
            </c:numRef>
          </c:val>
          <c:smooth val="0"/>
          <c:extLst>
            <c:ext xmlns:c16="http://schemas.microsoft.com/office/drawing/2014/chart" uri="{C3380CC4-5D6E-409C-BE32-E72D297353CC}">
              <c16:uniqueId val="{00000000-9DE6-48B7-86F5-2A8CA4073EE3}"/>
            </c:ext>
          </c:extLst>
        </c:ser>
        <c:ser>
          <c:idx val="1"/>
          <c:order val="1"/>
          <c:tx>
            <c:strRef>
              <c:f>Análisis!$A$163</c:f>
              <c:strCache>
                <c:ptCount val="1"/>
                <c:pt idx="0">
                  <c:v>AC/AT</c:v>
                </c:pt>
              </c:strCache>
            </c:strRef>
          </c:tx>
          <c:spPr>
            <a:ln w="28575" cap="rnd">
              <a:solidFill>
                <a:schemeClr val="accent2"/>
              </a:solidFill>
              <a:round/>
            </a:ln>
            <a:effectLst/>
          </c:spPr>
          <c:marker>
            <c:symbol val="none"/>
          </c:marker>
          <c:cat>
            <c:numRef>
              <c:f>Análisis!$B$161:$O$161</c:f>
              <c:numCache>
                <c:formatCode>General</c:formatCode>
                <c:ptCount val="14"/>
                <c:pt idx="0">
                  <c:v>2010</c:v>
                </c:pt>
                <c:pt idx="3">
                  <c:v>2013</c:v>
                </c:pt>
                <c:pt idx="6">
                  <c:v>2016</c:v>
                </c:pt>
                <c:pt idx="9">
                  <c:v>2019</c:v>
                </c:pt>
                <c:pt idx="12">
                  <c:v>2022</c:v>
                </c:pt>
              </c:numCache>
            </c:numRef>
          </c:cat>
          <c:val>
            <c:numRef>
              <c:f>Análisis!$B$163:$O$163</c:f>
              <c:numCache>
                <c:formatCode>0%</c:formatCode>
                <c:ptCount val="14"/>
                <c:pt idx="0">
                  <c:v>0.25494069258835972</c:v>
                </c:pt>
                <c:pt idx="1">
                  <c:v>0.23474447122524777</c:v>
                </c:pt>
                <c:pt idx="2">
                  <c:v>0.24942424642194211</c:v>
                </c:pt>
                <c:pt idx="3">
                  <c:v>0.25179331819649819</c:v>
                </c:pt>
                <c:pt idx="4">
                  <c:v>0.29034921857018176</c:v>
                </c:pt>
                <c:pt idx="5">
                  <c:v>0.2127715234525899</c:v>
                </c:pt>
                <c:pt idx="6">
                  <c:v>0.22063248865509524</c:v>
                </c:pt>
                <c:pt idx="7">
                  <c:v>0.21109023742473559</c:v>
                </c:pt>
                <c:pt idx="8">
                  <c:v>0.20447832839196992</c:v>
                </c:pt>
                <c:pt idx="9">
                  <c:v>0.26118286314884581</c:v>
                </c:pt>
                <c:pt idx="10">
                  <c:v>0.28167629232291758</c:v>
                </c:pt>
                <c:pt idx="11">
                  <c:v>0.23944723693542994</c:v>
                </c:pt>
                <c:pt idx="12">
                  <c:v>0.26533595572418855</c:v>
                </c:pt>
                <c:pt idx="13">
                  <c:v>0.28007580988134023</c:v>
                </c:pt>
              </c:numCache>
            </c:numRef>
          </c:val>
          <c:smooth val="0"/>
          <c:extLst>
            <c:ext xmlns:c16="http://schemas.microsoft.com/office/drawing/2014/chart" uri="{C3380CC4-5D6E-409C-BE32-E72D297353CC}">
              <c16:uniqueId val="{00000001-9DE6-48B7-86F5-2A8CA4073EE3}"/>
            </c:ext>
          </c:extLst>
        </c:ser>
        <c:dLbls>
          <c:showLegendKey val="0"/>
          <c:showVal val="0"/>
          <c:showCatName val="0"/>
          <c:showSerName val="0"/>
          <c:showPercent val="0"/>
          <c:showBubbleSize val="0"/>
        </c:dLbls>
        <c:smooth val="0"/>
        <c:axId val="1661756480"/>
        <c:axId val="1661748800"/>
      </c:lineChart>
      <c:catAx>
        <c:axId val="166175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61748800"/>
        <c:crosses val="autoZero"/>
        <c:auto val="1"/>
        <c:lblAlgn val="ctr"/>
        <c:lblOffset val="100"/>
        <c:noMultiLvlLbl val="0"/>
      </c:catAx>
      <c:valAx>
        <c:axId val="166174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6175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 plotear'!$B$32</c:f>
              <c:strCache>
                <c:ptCount val="1"/>
                <c:pt idx="0">
                  <c:v>Ingresos por Venta</c:v>
                </c:pt>
              </c:strCache>
            </c:strRef>
          </c:tx>
          <c:spPr>
            <a:ln w="28575" cap="rnd">
              <a:solidFill>
                <a:schemeClr val="accent1"/>
              </a:solidFill>
              <a:round/>
            </a:ln>
            <a:effectLst/>
          </c:spPr>
          <c:marker>
            <c:symbol val="none"/>
          </c:marker>
          <c:cat>
            <c:numRef>
              <c:f>'A plotear'!$C$31:$P$31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 plotear'!$C$32:$P$32</c:f>
              <c:numCache>
                <c:formatCode>_ [$$-340A]* #,##0_ ;_ [$$-340A]* \-#,##0_ ;_ [$$-340A]* "-"_ ;_ @_ </c:formatCode>
                <c:ptCount val="14"/>
                <c:pt idx="0">
                  <c:v>1083595141</c:v>
                </c:pt>
                <c:pt idx="1">
                  <c:v>1230798252</c:v>
                </c:pt>
                <c:pt idx="2">
                  <c:v>1430115702</c:v>
                </c:pt>
                <c:pt idx="3">
                  <c:v>1628375505</c:v>
                </c:pt>
                <c:pt idx="4">
                  <c:v>1643267385</c:v>
                </c:pt>
                <c:pt idx="5">
                  <c:v>1784612663</c:v>
                </c:pt>
                <c:pt idx="6">
                  <c:v>1867697070</c:v>
                </c:pt>
                <c:pt idx="7">
                  <c:v>1943071198</c:v>
                </c:pt>
                <c:pt idx="8">
                  <c:v>1913174282</c:v>
                </c:pt>
                <c:pt idx="9">
                  <c:v>1978791988</c:v>
                </c:pt>
                <c:pt idx="10">
                  <c:v>2092644232</c:v>
                </c:pt>
                <c:pt idx="11">
                  <c:v>2427220678</c:v>
                </c:pt>
                <c:pt idx="12">
                  <c:v>2540682904</c:v>
                </c:pt>
                <c:pt idx="13">
                  <c:v>2473692310</c:v>
                </c:pt>
              </c:numCache>
            </c:numRef>
          </c:val>
          <c:smooth val="0"/>
          <c:extLst>
            <c:ext xmlns:c16="http://schemas.microsoft.com/office/drawing/2014/chart" uri="{C3380CC4-5D6E-409C-BE32-E72D297353CC}">
              <c16:uniqueId val="{00000000-25E4-4CE1-A5BF-0EF722FC2C5F}"/>
            </c:ext>
          </c:extLst>
        </c:ser>
        <c:ser>
          <c:idx val="1"/>
          <c:order val="1"/>
          <c:tx>
            <c:strRef>
              <c:f>'A plotear'!$B$33</c:f>
              <c:strCache>
                <c:ptCount val="1"/>
                <c:pt idx="0">
                  <c:v>IxV con IPC</c:v>
                </c:pt>
              </c:strCache>
            </c:strRef>
          </c:tx>
          <c:spPr>
            <a:ln w="28575" cap="rnd">
              <a:solidFill>
                <a:schemeClr val="accent2"/>
              </a:solidFill>
              <a:round/>
            </a:ln>
            <a:effectLst/>
          </c:spPr>
          <c:marker>
            <c:symbol val="none"/>
          </c:marker>
          <c:cat>
            <c:numRef>
              <c:f>'A plotear'!$C$31:$P$31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 plotear'!$C$33:$P$33</c:f>
              <c:numCache>
                <c:formatCode>_ [$$-340A]* #,##0_ ;_ [$$-340A]* \-#,##0_ ;_ [$$-340A]* "-"_ ;_ @_ </c:formatCode>
                <c:ptCount val="14"/>
                <c:pt idx="0">
                  <c:v>1895207901.6090002</c:v>
                </c:pt>
                <c:pt idx="1">
                  <c:v>2061587072.1000001</c:v>
                </c:pt>
                <c:pt idx="2">
                  <c:v>2359690908.2999997</c:v>
                </c:pt>
                <c:pt idx="3">
                  <c:v>2608657559.0099998</c:v>
                </c:pt>
                <c:pt idx="4">
                  <c:v>2515842366.4350004</c:v>
                </c:pt>
                <c:pt idx="5">
                  <c:v>2618026776.6210003</c:v>
                </c:pt>
                <c:pt idx="6">
                  <c:v>2667071415.96</c:v>
                </c:pt>
                <c:pt idx="7">
                  <c:v>2712527392.408</c:v>
                </c:pt>
                <c:pt idx="8">
                  <c:v>2605743372.0840001</c:v>
                </c:pt>
                <c:pt idx="9">
                  <c:v>2615963008.1360002</c:v>
                </c:pt>
                <c:pt idx="10">
                  <c:v>2686955193.888</c:v>
                </c:pt>
                <c:pt idx="11">
                  <c:v>2907810372.244</c:v>
                </c:pt>
                <c:pt idx="12">
                  <c:v>2698205244.0480003</c:v>
                </c:pt>
                <c:pt idx="13">
                  <c:v>2528113540.8200002</c:v>
                </c:pt>
              </c:numCache>
            </c:numRef>
          </c:val>
          <c:smooth val="0"/>
          <c:extLst>
            <c:ext xmlns:c16="http://schemas.microsoft.com/office/drawing/2014/chart" uri="{C3380CC4-5D6E-409C-BE32-E72D297353CC}">
              <c16:uniqueId val="{00000001-25E4-4CE1-A5BF-0EF722FC2C5F}"/>
            </c:ext>
          </c:extLst>
        </c:ser>
        <c:dLbls>
          <c:showLegendKey val="0"/>
          <c:showVal val="0"/>
          <c:showCatName val="0"/>
          <c:showSerName val="0"/>
          <c:showPercent val="0"/>
          <c:showBubbleSize val="0"/>
        </c:dLbls>
        <c:smooth val="0"/>
        <c:axId val="1572274064"/>
        <c:axId val="1572275984"/>
      </c:lineChart>
      <c:catAx>
        <c:axId val="157227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2275984"/>
        <c:crosses val="autoZero"/>
        <c:auto val="1"/>
        <c:lblAlgn val="ctr"/>
        <c:lblOffset val="100"/>
        <c:noMultiLvlLbl val="0"/>
      </c:catAx>
      <c:valAx>
        <c:axId val="1572275984"/>
        <c:scaling>
          <c:orientation val="minMax"/>
        </c:scaling>
        <c:delete val="0"/>
        <c:axPos val="l"/>
        <c:majorGridlines>
          <c:spPr>
            <a:ln w="9525" cap="flat" cmpd="sng" algn="ctr">
              <a:solidFill>
                <a:schemeClr val="tx1">
                  <a:lumMod val="15000"/>
                  <a:lumOff val="85000"/>
                </a:schemeClr>
              </a:solidFill>
              <a:round/>
            </a:ln>
            <a:effectLst/>
          </c:spPr>
        </c:majorGridlines>
        <c:numFmt formatCode="_ [$$-340A]* #,##0_ ;_ [$$-340A]* \-#,##0_ ;_ [$$-340A]*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2274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'A plotear'!$B$41</c:f>
              <c:strCache>
                <c:ptCount val="1"/>
                <c:pt idx="0">
                  <c:v>ROE</c:v>
                </c:pt>
              </c:strCache>
            </c:strRef>
          </c:tx>
          <c:spPr>
            <a:ln w="28575" cap="rnd">
              <a:solidFill>
                <a:schemeClr val="accent1"/>
              </a:solidFill>
              <a:round/>
            </a:ln>
            <a:effectLst/>
          </c:spPr>
          <c:marker>
            <c:symbol val="none"/>
          </c:marker>
          <c:cat>
            <c:numRef>
              <c:f>'A plotear'!$C$38:$P$38</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 plotear'!$C$41:$P$41</c:f>
              <c:numCache>
                <c:formatCode>0.0%</c:formatCode>
                <c:ptCount val="14"/>
                <c:pt idx="0">
                  <c:v>0.23978003586910707</c:v>
                </c:pt>
                <c:pt idx="1">
                  <c:v>0.2338274683138942</c:v>
                </c:pt>
                <c:pt idx="2">
                  <c:v>0.20551938059965494</c:v>
                </c:pt>
                <c:pt idx="3">
                  <c:v>0.16680029204715469</c:v>
                </c:pt>
                <c:pt idx="4">
                  <c:v>5.9048262027469336E-2</c:v>
                </c:pt>
                <c:pt idx="5">
                  <c:v>-1.1535045783579677E-3</c:v>
                </c:pt>
                <c:pt idx="6">
                  <c:v>2.706936990566151E-2</c:v>
                </c:pt>
                <c:pt idx="7">
                  <c:v>3.5054306122228637E-2</c:v>
                </c:pt>
                <c:pt idx="8">
                  <c:v>-1.7281698228442263E-2</c:v>
                </c:pt>
                <c:pt idx="9">
                  <c:v>9.5825548160430166E-2</c:v>
                </c:pt>
                <c:pt idx="10">
                  <c:v>5.5993890639386867E-2</c:v>
                </c:pt>
                <c:pt idx="11">
                  <c:v>4.988226745919639E-2</c:v>
                </c:pt>
                <c:pt idx="12">
                  <c:v>0.293845414149081</c:v>
                </c:pt>
                <c:pt idx="13">
                  <c:v>5.3050946891400642E-2</c:v>
                </c:pt>
              </c:numCache>
            </c:numRef>
          </c:val>
          <c:smooth val="0"/>
          <c:extLst>
            <c:ext xmlns:c16="http://schemas.microsoft.com/office/drawing/2014/chart" uri="{C3380CC4-5D6E-409C-BE32-E72D297353CC}">
              <c16:uniqueId val="{00000000-59EF-4078-9434-CBF3D9D19E1B}"/>
            </c:ext>
          </c:extLst>
        </c:ser>
        <c:dLbls>
          <c:showLegendKey val="0"/>
          <c:showVal val="0"/>
          <c:showCatName val="0"/>
          <c:showSerName val="0"/>
          <c:showPercent val="0"/>
          <c:showBubbleSize val="0"/>
        </c:dLbls>
        <c:smooth val="0"/>
        <c:axId val="704733119"/>
        <c:axId val="704732159"/>
      </c:lineChart>
      <c:catAx>
        <c:axId val="70473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04732159"/>
        <c:crosses val="autoZero"/>
        <c:auto val="1"/>
        <c:lblAlgn val="ctr"/>
        <c:lblOffset val="100"/>
        <c:noMultiLvlLbl val="0"/>
      </c:catAx>
      <c:valAx>
        <c:axId val="7047321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04733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 plotear'!$B$62</c:f>
              <c:strCache>
                <c:ptCount val="1"/>
                <c:pt idx="0">
                  <c:v>UDI</c:v>
                </c:pt>
              </c:strCache>
            </c:strRef>
          </c:tx>
          <c:spPr>
            <a:ln w="28575" cap="rnd">
              <a:solidFill>
                <a:schemeClr val="accent1"/>
              </a:solidFill>
              <a:round/>
            </a:ln>
            <a:effectLst/>
          </c:spPr>
          <c:marker>
            <c:symbol val="none"/>
          </c:marker>
          <c:cat>
            <c:numRef>
              <c:f>'A plotear'!$C$61:$P$61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 plotear'!$C$62:$P$62</c:f>
              <c:numCache>
                <c:formatCode>_ [$$-340A]* #,##0_ ;_ [$$-340A]* \-#,##0_ ;_ [$$-340A]* "-"_ ;_ @_ </c:formatCode>
                <c:ptCount val="14"/>
                <c:pt idx="0">
                  <c:v>172971209</c:v>
                </c:pt>
                <c:pt idx="1">
                  <c:v>180766659</c:v>
                </c:pt>
                <c:pt idx="2">
                  <c:v>167294116</c:v>
                </c:pt>
                <c:pt idx="3">
                  <c:v>146965254</c:v>
                </c:pt>
                <c:pt idx="4">
                  <c:v>56470502</c:v>
                </c:pt>
                <c:pt idx="5">
                  <c:v>-1101997</c:v>
                </c:pt>
                <c:pt idx="6">
                  <c:v>34158100</c:v>
                </c:pt>
                <c:pt idx="7">
                  <c:v>43409541</c:v>
                </c:pt>
                <c:pt idx="8">
                  <c:v>-23614092</c:v>
                </c:pt>
                <c:pt idx="9">
                  <c:v>154152106</c:v>
                </c:pt>
                <c:pt idx="10">
                  <c:v>84466248</c:v>
                </c:pt>
                <c:pt idx="11">
                  <c:v>74975311</c:v>
                </c:pt>
                <c:pt idx="12">
                  <c:v>456787332</c:v>
                </c:pt>
                <c:pt idx="13">
                  <c:v>88884366</c:v>
                </c:pt>
              </c:numCache>
            </c:numRef>
          </c:val>
          <c:smooth val="0"/>
          <c:extLst>
            <c:ext xmlns:c16="http://schemas.microsoft.com/office/drawing/2014/chart" uri="{C3380CC4-5D6E-409C-BE32-E72D297353CC}">
              <c16:uniqueId val="{00000000-4EB7-475A-AD5D-3B92AE94512D}"/>
            </c:ext>
          </c:extLst>
        </c:ser>
        <c:ser>
          <c:idx val="1"/>
          <c:order val="1"/>
          <c:tx>
            <c:strRef>
              <c:f>'A plotear'!$B$63</c:f>
              <c:strCache>
                <c:ptCount val="1"/>
                <c:pt idx="0">
                  <c:v>EVA</c:v>
                </c:pt>
              </c:strCache>
            </c:strRef>
          </c:tx>
          <c:spPr>
            <a:ln w="28575" cap="rnd">
              <a:solidFill>
                <a:schemeClr val="accent2"/>
              </a:solidFill>
              <a:round/>
            </a:ln>
            <a:effectLst/>
          </c:spPr>
          <c:marker>
            <c:symbol val="none"/>
          </c:marker>
          <c:cat>
            <c:numRef>
              <c:f>'A plotear'!$C$61:$P$61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 plotear'!$C$63:$P$63</c:f>
              <c:numCache>
                <c:formatCode>_ [$$-340A]* #,##0_ ;_ [$$-340A]* \-#,##0_ ;_ [$$-340A]* "-"_ ;_ @_ </c:formatCode>
                <c:ptCount val="14"/>
                <c:pt idx="0">
                  <c:v>164563515</c:v>
                </c:pt>
                <c:pt idx="1">
                  <c:v>171907944</c:v>
                </c:pt>
                <c:pt idx="2">
                  <c:v>153716083</c:v>
                </c:pt>
                <c:pt idx="3">
                  <c:v>123693559</c:v>
                </c:pt>
                <c:pt idx="4">
                  <c:v>-4763869</c:v>
                </c:pt>
                <c:pt idx="5">
                  <c:v>-72046891</c:v>
                </c:pt>
                <c:pt idx="6">
                  <c:v>-48454399</c:v>
                </c:pt>
                <c:pt idx="7">
                  <c:v>-36750996</c:v>
                </c:pt>
                <c:pt idx="8">
                  <c:v>-101236277</c:v>
                </c:pt>
                <c:pt idx="9">
                  <c:v>-150682344</c:v>
                </c:pt>
                <c:pt idx="10">
                  <c:v>-59655058</c:v>
                </c:pt>
                <c:pt idx="11">
                  <c:v>-59785333</c:v>
                </c:pt>
                <c:pt idx="12">
                  <c:v>-201873034</c:v>
                </c:pt>
                <c:pt idx="13">
                  <c:v>-75710210</c:v>
                </c:pt>
              </c:numCache>
            </c:numRef>
          </c:val>
          <c:smooth val="0"/>
          <c:extLst>
            <c:ext xmlns:c16="http://schemas.microsoft.com/office/drawing/2014/chart" uri="{C3380CC4-5D6E-409C-BE32-E72D297353CC}">
              <c16:uniqueId val="{00000001-4EB7-475A-AD5D-3B92AE94512D}"/>
            </c:ext>
          </c:extLst>
        </c:ser>
        <c:ser>
          <c:idx val="2"/>
          <c:order val="2"/>
          <c:tx>
            <c:strRef>
              <c:f>'A plotear'!$B$66</c:f>
              <c:strCache>
                <c:ptCount val="1"/>
                <c:pt idx="0">
                  <c:v>UDI c/IPC</c:v>
                </c:pt>
              </c:strCache>
            </c:strRef>
          </c:tx>
          <c:spPr>
            <a:ln w="28575" cap="rnd">
              <a:solidFill>
                <a:schemeClr val="accent3"/>
              </a:solidFill>
              <a:round/>
            </a:ln>
            <a:effectLst/>
          </c:spPr>
          <c:marker>
            <c:symbol val="none"/>
          </c:marker>
          <c:cat>
            <c:numRef>
              <c:f>'A plotear'!$C$61:$P$61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 plotear'!$C$66:$P$66</c:f>
              <c:numCache>
                <c:formatCode>_ [$$-340A]* #,##0_ ;_ [$$-340A]* \-#,##0_ ;_ [$$-340A]* "-"_ ;_ @_ </c:formatCode>
                <c:ptCount val="14"/>
                <c:pt idx="0">
                  <c:v>302526644.54100001</c:v>
                </c:pt>
                <c:pt idx="1">
                  <c:v>302784153.82499999</c:v>
                </c:pt>
                <c:pt idx="2">
                  <c:v>276035291.39999998</c:v>
                </c:pt>
                <c:pt idx="3">
                  <c:v>235438336.90799999</c:v>
                </c:pt>
                <c:pt idx="4">
                  <c:v>86456338.562000006</c:v>
                </c:pt>
                <c:pt idx="5">
                  <c:v>-1616629.5990000002</c:v>
                </c:pt>
                <c:pt idx="6">
                  <c:v>48777766.799999997</c:v>
                </c:pt>
                <c:pt idx="7">
                  <c:v>60599719.235999994</c:v>
                </c:pt>
                <c:pt idx="8">
                  <c:v>-32162393.304000001</c:v>
                </c:pt>
                <c:pt idx="9">
                  <c:v>203789084.132</c:v>
                </c:pt>
                <c:pt idx="10">
                  <c:v>108454662.432</c:v>
                </c:pt>
                <c:pt idx="11">
                  <c:v>89820422.577999994</c:v>
                </c:pt>
                <c:pt idx="12">
                  <c:v>485108146.58400005</c:v>
                </c:pt>
                <c:pt idx="13">
                  <c:v>90839822.052000001</c:v>
                </c:pt>
              </c:numCache>
            </c:numRef>
          </c:val>
          <c:smooth val="0"/>
          <c:extLst>
            <c:ext xmlns:c16="http://schemas.microsoft.com/office/drawing/2014/chart" uri="{C3380CC4-5D6E-409C-BE32-E72D297353CC}">
              <c16:uniqueId val="{00000002-4EB7-475A-AD5D-3B92AE94512D}"/>
            </c:ext>
          </c:extLst>
        </c:ser>
        <c:ser>
          <c:idx val="3"/>
          <c:order val="3"/>
          <c:tx>
            <c:strRef>
              <c:f>'A plotear'!$B$67</c:f>
              <c:strCache>
                <c:ptCount val="1"/>
                <c:pt idx="0">
                  <c:v>EVA c/IPC</c:v>
                </c:pt>
              </c:strCache>
            </c:strRef>
          </c:tx>
          <c:spPr>
            <a:ln w="28575" cap="rnd">
              <a:solidFill>
                <a:schemeClr val="accent4"/>
              </a:solidFill>
              <a:round/>
            </a:ln>
            <a:effectLst/>
          </c:spPr>
          <c:marker>
            <c:symbol val="none"/>
          </c:marker>
          <c:cat>
            <c:numRef>
              <c:f>'A plotear'!$C$61:$P$61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'A plotear'!$C$67:$P$67</c:f>
              <c:numCache>
                <c:formatCode>_ [$$-340A]* #,##0_ ;_ [$$-340A]* \-#,##0_ ;_ [$$-340A]* "-"_ ;_ @_ </c:formatCode>
                <c:ptCount val="14"/>
                <c:pt idx="0">
                  <c:v>287821587.73500001</c:v>
                </c:pt>
                <c:pt idx="1">
                  <c:v>287945806.19999999</c:v>
                </c:pt>
                <c:pt idx="2">
                  <c:v>253631536.94999999</c:v>
                </c:pt>
                <c:pt idx="3">
                  <c:v>198157081.51799998</c:v>
                </c:pt>
                <c:pt idx="4">
                  <c:v>-7293483.4390000002</c:v>
                </c:pt>
                <c:pt idx="5">
                  <c:v>-105692789.097</c:v>
                </c:pt>
                <c:pt idx="6">
                  <c:v>-69192881.772</c:v>
                </c:pt>
                <c:pt idx="7">
                  <c:v>-51304390.415999994</c:v>
                </c:pt>
                <c:pt idx="8">
                  <c:v>-137883809.27400002</c:v>
                </c:pt>
                <c:pt idx="9">
                  <c:v>-199202058.76800001</c:v>
                </c:pt>
                <c:pt idx="10">
                  <c:v>-76597094.472000003</c:v>
                </c:pt>
                <c:pt idx="11">
                  <c:v>-71622828.934</c:v>
                </c:pt>
                <c:pt idx="12">
                  <c:v>-214389162.10800001</c:v>
                </c:pt>
                <c:pt idx="13">
                  <c:v>-77375834.620000005</c:v>
                </c:pt>
              </c:numCache>
            </c:numRef>
          </c:val>
          <c:smooth val="0"/>
          <c:extLst>
            <c:ext xmlns:c16="http://schemas.microsoft.com/office/drawing/2014/chart" uri="{C3380CC4-5D6E-409C-BE32-E72D297353CC}">
              <c16:uniqueId val="{00000003-4EB7-475A-AD5D-3B92AE94512D}"/>
            </c:ext>
          </c:extLst>
        </c:ser>
        <c:dLbls>
          <c:showLegendKey val="0"/>
          <c:showVal val="0"/>
          <c:showCatName val="0"/>
          <c:showSerName val="0"/>
          <c:showPercent val="0"/>
          <c:showBubbleSize val="0"/>
        </c:dLbls>
        <c:smooth val="0"/>
        <c:axId val="1669065712"/>
        <c:axId val="1669060432"/>
      </c:lineChart>
      <c:catAx>
        <c:axId val="166906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69060432"/>
        <c:crosses val="autoZero"/>
        <c:auto val="1"/>
        <c:lblAlgn val="ctr"/>
        <c:lblOffset val="100"/>
        <c:noMultiLvlLbl val="0"/>
      </c:catAx>
      <c:valAx>
        <c:axId val="1669060432"/>
        <c:scaling>
          <c:orientation val="minMax"/>
        </c:scaling>
        <c:delete val="0"/>
        <c:axPos val="l"/>
        <c:majorGridlines>
          <c:spPr>
            <a:ln w="9525" cap="flat" cmpd="sng" algn="ctr">
              <a:solidFill>
                <a:schemeClr val="tx1">
                  <a:lumMod val="15000"/>
                  <a:lumOff val="85000"/>
                </a:schemeClr>
              </a:solidFill>
              <a:round/>
            </a:ln>
            <a:effectLst/>
          </c:spPr>
        </c:majorGridlines>
        <c:numFmt formatCode="_ [$$-340A]* #,##0_ ;_ [$$-340A]* \-#,##0_ ;_ [$$-340A]*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6906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396240</xdr:colOff>
      <xdr:row>6</xdr:row>
      <xdr:rowOff>133350</xdr:rowOff>
    </xdr:from>
    <xdr:to>
      <xdr:col>10</xdr:col>
      <xdr:colOff>7620</xdr:colOff>
      <xdr:row>21</xdr:row>
      <xdr:rowOff>133350</xdr:rowOff>
    </xdr:to>
    <xdr:graphicFrame macro="">
      <xdr:nvGraphicFramePr>
        <xdr:cNvPr id="4" name="Gráfico 3">
          <a:extLst>
            <a:ext uri="{FF2B5EF4-FFF2-40B4-BE49-F238E27FC236}">
              <a16:creationId xmlns:a16="http://schemas.microsoft.com/office/drawing/2014/main" id="{FCE7A79A-AF30-1894-BA9E-2E3CA812C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37</xdr:row>
      <xdr:rowOff>26670</xdr:rowOff>
    </xdr:from>
    <xdr:to>
      <xdr:col>10</xdr:col>
      <xdr:colOff>480060</xdr:colOff>
      <xdr:row>50</xdr:row>
      <xdr:rowOff>152400</xdr:rowOff>
    </xdr:to>
    <xdr:graphicFrame macro="">
      <xdr:nvGraphicFramePr>
        <xdr:cNvPr id="6" name="Gráfico 5">
          <a:extLst>
            <a:ext uri="{FF2B5EF4-FFF2-40B4-BE49-F238E27FC236}">
              <a16:creationId xmlns:a16="http://schemas.microsoft.com/office/drawing/2014/main" id="{ECD4EF32-56D9-EA49-ABE6-B51DA0F33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655320</xdr:colOff>
      <xdr:row>59</xdr:row>
      <xdr:rowOff>110490</xdr:rowOff>
    </xdr:from>
    <xdr:to>
      <xdr:col>10</xdr:col>
      <xdr:colOff>266700</xdr:colOff>
      <xdr:row>74</xdr:row>
      <xdr:rowOff>110490</xdr:rowOff>
    </xdr:to>
    <xdr:graphicFrame macro="">
      <xdr:nvGraphicFramePr>
        <xdr:cNvPr id="7" name="Gráfico 6">
          <a:extLst>
            <a:ext uri="{FF2B5EF4-FFF2-40B4-BE49-F238E27FC236}">
              <a16:creationId xmlns:a16="http://schemas.microsoft.com/office/drawing/2014/main" id="{7120D480-DCDA-1594-C30C-1C574C7AA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90</xdr:row>
      <xdr:rowOff>133350</xdr:rowOff>
    </xdr:from>
    <xdr:to>
      <xdr:col>5</xdr:col>
      <xdr:colOff>362415</xdr:colOff>
      <xdr:row>105</xdr:row>
      <xdr:rowOff>133350</xdr:rowOff>
    </xdr:to>
    <xdr:graphicFrame macro="">
      <xdr:nvGraphicFramePr>
        <xdr:cNvPr id="8" name="Gráfico 7">
          <a:extLst>
            <a:ext uri="{FF2B5EF4-FFF2-40B4-BE49-F238E27FC236}">
              <a16:creationId xmlns:a16="http://schemas.microsoft.com/office/drawing/2014/main" id="{4BCE9F52-966E-D894-9242-48552C176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255302</xdr:colOff>
      <xdr:row>90</xdr:row>
      <xdr:rowOff>131585</xdr:rowOff>
    </xdr:from>
    <xdr:to>
      <xdr:col>12</xdr:col>
      <xdr:colOff>940905</xdr:colOff>
      <xdr:row>105</xdr:row>
      <xdr:rowOff>131585</xdr:rowOff>
    </xdr:to>
    <xdr:graphicFrame macro="">
      <xdr:nvGraphicFramePr>
        <xdr:cNvPr id="9" name="Gráfico 8">
          <a:extLst>
            <a:ext uri="{FF2B5EF4-FFF2-40B4-BE49-F238E27FC236}">
              <a16:creationId xmlns:a16="http://schemas.microsoft.com/office/drawing/2014/main" id="{535C243E-3EE1-B1C6-2506-052976DB7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259080</xdr:colOff>
      <xdr:row>124</xdr:row>
      <xdr:rowOff>64770</xdr:rowOff>
    </xdr:from>
    <xdr:to>
      <xdr:col>5</xdr:col>
      <xdr:colOff>114300</xdr:colOff>
      <xdr:row>139</xdr:row>
      <xdr:rowOff>64770</xdr:rowOff>
    </xdr:to>
    <xdr:graphicFrame macro="">
      <xdr:nvGraphicFramePr>
        <xdr:cNvPr id="11" name="Gráfico 10">
          <a:extLst>
            <a:ext uri="{FF2B5EF4-FFF2-40B4-BE49-F238E27FC236}">
              <a16:creationId xmlns:a16="http://schemas.microsoft.com/office/drawing/2014/main" id="{444B9A2D-841E-001A-42C1-3F83C8D01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670560</xdr:colOff>
      <xdr:row>124</xdr:row>
      <xdr:rowOff>95250</xdr:rowOff>
    </xdr:from>
    <xdr:to>
      <xdr:col>10</xdr:col>
      <xdr:colOff>411480</xdr:colOff>
      <xdr:row>139</xdr:row>
      <xdr:rowOff>95250</xdr:rowOff>
    </xdr:to>
    <xdr:graphicFrame macro="">
      <xdr:nvGraphicFramePr>
        <xdr:cNvPr id="13" name="Gráfico 12">
          <a:extLst>
            <a:ext uri="{FF2B5EF4-FFF2-40B4-BE49-F238E27FC236}">
              <a16:creationId xmlns:a16="http://schemas.microsoft.com/office/drawing/2014/main" id="{72A1628B-0FE1-3548-9DC9-21DE0EEF7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222394</xdr:colOff>
      <xdr:row>168</xdr:row>
      <xdr:rowOff>131523</xdr:rowOff>
    </xdr:from>
    <xdr:to>
      <xdr:col>4</xdr:col>
      <xdr:colOff>27545</xdr:colOff>
      <xdr:row>183</xdr:row>
      <xdr:rowOff>56366</xdr:rowOff>
    </xdr:to>
    <xdr:graphicFrame macro="">
      <xdr:nvGraphicFramePr>
        <xdr:cNvPr id="2" name="Gráfico 1">
          <a:extLst>
            <a:ext uri="{FF2B5EF4-FFF2-40B4-BE49-F238E27FC236}">
              <a16:creationId xmlns:a16="http://schemas.microsoft.com/office/drawing/2014/main" id="{068F9E0F-763C-C613-D73D-13E8921BD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135956</xdr:colOff>
      <xdr:row>168</xdr:row>
      <xdr:rowOff>74247</xdr:rowOff>
    </xdr:from>
    <xdr:to>
      <xdr:col>10</xdr:col>
      <xdr:colOff>739206</xdr:colOff>
      <xdr:row>183</xdr:row>
      <xdr:rowOff>33216</xdr:rowOff>
    </xdr:to>
    <xdr:graphicFrame macro="">
      <xdr:nvGraphicFramePr>
        <xdr:cNvPr id="3" name="Gráfico 2">
          <a:extLst>
            <a:ext uri="{FF2B5EF4-FFF2-40B4-BE49-F238E27FC236}">
              <a16:creationId xmlns:a16="http://schemas.microsoft.com/office/drawing/2014/main" id="{5F42F3F7-2ECB-8769-0250-06A34675E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481382</xdr:colOff>
      <xdr:row>23</xdr:row>
      <xdr:rowOff>54695</xdr:rowOff>
    </xdr:from>
    <xdr:to>
      <xdr:col>25</xdr:col>
      <xdr:colOff>383475</xdr:colOff>
      <xdr:row>37</xdr:row>
      <xdr:rowOff>128727</xdr:rowOff>
    </xdr:to>
    <xdr:graphicFrame macro="">
      <xdr:nvGraphicFramePr>
        <xdr:cNvPr id="3" name="Gráfico 2">
          <a:extLst>
            <a:ext uri="{FF2B5EF4-FFF2-40B4-BE49-F238E27FC236}">
              <a16:creationId xmlns:a16="http://schemas.microsoft.com/office/drawing/2014/main" id="{2ED1A21C-EE98-C12B-8291-3AB56BAA8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1100667</xdr:colOff>
      <xdr:row>42</xdr:row>
      <xdr:rowOff>35983</xdr:rowOff>
    </xdr:from>
    <xdr:to>
      <xdr:col>10</xdr:col>
      <xdr:colOff>719667</xdr:colOff>
      <xdr:row>57</xdr:row>
      <xdr:rowOff>80433</xdr:rowOff>
    </xdr:to>
    <xdr:graphicFrame macro="">
      <xdr:nvGraphicFramePr>
        <xdr:cNvPr id="4" name="Gráfico 3">
          <a:extLst>
            <a:ext uri="{FF2B5EF4-FFF2-40B4-BE49-F238E27FC236}">
              <a16:creationId xmlns:a16="http://schemas.microsoft.com/office/drawing/2014/main" id="{01B704B5-A9AE-9AB9-D4D9-6E3F4E0E3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737152</xdr:colOff>
      <xdr:row>68</xdr:row>
      <xdr:rowOff>28159</xdr:rowOff>
    </xdr:from>
    <xdr:to>
      <xdr:col>12</xdr:col>
      <xdr:colOff>314738</xdr:colOff>
      <xdr:row>84</xdr:row>
      <xdr:rowOff>140804</xdr:rowOff>
    </xdr:to>
    <xdr:graphicFrame macro="">
      <xdr:nvGraphicFramePr>
        <xdr:cNvPr id="6" name="Gráfico 5">
          <a:extLst>
            <a:ext uri="{FF2B5EF4-FFF2-40B4-BE49-F238E27FC236}">
              <a16:creationId xmlns:a16="http://schemas.microsoft.com/office/drawing/2014/main" id="{ADEDF0E4-3C42-680D-63B2-CF374090F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odrigo Serrano Perez (Alumno)" id="{A61DD016-5308-4F5D-8DC2-B57C0F2D76B9}" userId="S::rodrigo.serranop@usm.cl::ca664177-db86-4b81-bb4a-00518b9a50e8"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84" dT="2024-06-05T20:44:45.75" personId="{A61DD016-5308-4F5D-8DC2-B57C0F2D76B9}" id="{4CDDF77E-B695-47B9-90EB-8D84F21E6109}">
    <text xml:space="preserve">Aumento de gastos
</text>
  </threadedComment>
  <threadedComment ref="A84" dT="2024-06-06T19:27:01.54" personId="{A61DD016-5308-4F5D-8DC2-B57C0F2D76B9}" id="{9673D516-D657-403F-9B72-E28E66B135CF}" parentId="{4CDDF77E-B695-47B9-90EB-8D84F21E6109}">
    <text>Dep y am es operacional o no operacional?</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9"/>
  <sheetViews>
    <sheetView tabSelected="1" zoomScale="91" workbookViewId="0">
      <pane xSplit="1" ySplit="1" topLeftCell="H103" activePane="bottomRight" state="frozen"/>
      <selection pane="topRight"/>
      <selection pane="bottomLeft"/>
      <selection pane="bottomRight" activeCell="M124" sqref="M124"/>
    </sheetView>
  </sheetViews>
  <sheetFormatPr baseColWidth="10" defaultRowHeight="14.4" x14ac:dyDescent="0.3"/>
  <cols>
    <col min="1" max="1" width="140.44140625" bestFit="1" customWidth="1"/>
    <col min="2" max="16" width="11" customWidth="1"/>
    <col min="17" max="17" width="12.6640625" bestFit="1" customWidth="1"/>
  </cols>
  <sheetData>
    <row r="1" spans="1:17" x14ac:dyDescent="0.3">
      <c r="A1" s="1" t="s">
        <v>101</v>
      </c>
      <c r="B1" s="3">
        <v>40543</v>
      </c>
      <c r="C1" s="3">
        <v>40908</v>
      </c>
      <c r="D1" s="3">
        <v>41274</v>
      </c>
      <c r="E1" s="3">
        <v>41639</v>
      </c>
      <c r="F1" s="3">
        <v>42004</v>
      </c>
      <c r="G1" s="3">
        <v>42369</v>
      </c>
      <c r="H1" s="3">
        <v>42735</v>
      </c>
      <c r="I1" s="3">
        <v>43100</v>
      </c>
      <c r="J1" s="3">
        <v>43465</v>
      </c>
      <c r="K1" s="3">
        <v>43830</v>
      </c>
      <c r="L1" s="3">
        <v>44196</v>
      </c>
      <c r="M1" s="3">
        <v>44561</v>
      </c>
      <c r="N1" s="3">
        <v>44926</v>
      </c>
      <c r="O1" s="3">
        <v>45291</v>
      </c>
      <c r="P1" s="3">
        <v>45382</v>
      </c>
    </row>
    <row r="2" spans="1:17" x14ac:dyDescent="0.3">
      <c r="A2" s="2" t="s">
        <v>2</v>
      </c>
      <c r="B2" s="4" t="s">
        <v>0</v>
      </c>
      <c r="C2" s="4" t="s">
        <v>0</v>
      </c>
      <c r="D2" s="4" t="s">
        <v>0</v>
      </c>
      <c r="E2" s="4" t="s">
        <v>0</v>
      </c>
      <c r="F2" s="4" t="s">
        <v>0</v>
      </c>
      <c r="G2" s="4" t="s">
        <v>0</v>
      </c>
      <c r="H2" s="4" t="s">
        <v>0</v>
      </c>
      <c r="I2" s="4" t="s">
        <v>0</v>
      </c>
      <c r="J2" s="4" t="s">
        <v>0</v>
      </c>
      <c r="K2" s="4" t="s">
        <v>0</v>
      </c>
      <c r="L2" s="4" t="s">
        <v>0</v>
      </c>
      <c r="M2" s="4" t="s">
        <v>0</v>
      </c>
      <c r="N2" s="4" t="s">
        <v>0</v>
      </c>
      <c r="O2" s="4" t="s">
        <v>0</v>
      </c>
      <c r="P2" s="4" t="s">
        <v>0</v>
      </c>
    </row>
    <row r="3" spans="1:17" x14ac:dyDescent="0.3">
      <c r="A3" s="2" t="s">
        <v>3</v>
      </c>
      <c r="B3" s="6">
        <v>1489274149</v>
      </c>
      <c r="C3" s="6">
        <v>1558014006</v>
      </c>
      <c r="D3" s="6">
        <v>1695255205</v>
      </c>
      <c r="E3" s="6">
        <v>2256949998</v>
      </c>
      <c r="F3" s="6">
        <v>3035795403</v>
      </c>
      <c r="G3" s="6">
        <v>3262953316</v>
      </c>
      <c r="H3" s="6">
        <v>3480439534</v>
      </c>
      <c r="I3" s="6">
        <v>3529040173</v>
      </c>
      <c r="J3" s="6">
        <v>3964215271</v>
      </c>
      <c r="K3" s="6">
        <v>5169493602</v>
      </c>
      <c r="L3" s="6">
        <v>4888444532</v>
      </c>
      <c r="M3" s="6">
        <v>5418228373</v>
      </c>
      <c r="N3" s="6">
        <v>5595346439</v>
      </c>
      <c r="O3" s="6">
        <v>5698687722</v>
      </c>
      <c r="P3" s="6">
        <v>5998205421</v>
      </c>
    </row>
    <row r="4" spans="1:17" x14ac:dyDescent="0.3">
      <c r="A4" s="5" t="s">
        <v>4</v>
      </c>
      <c r="B4" s="8">
        <v>379676583</v>
      </c>
      <c r="C4" s="8">
        <v>365735174</v>
      </c>
      <c r="D4" s="8">
        <v>422837752</v>
      </c>
      <c r="E4" s="8">
        <v>568284929</v>
      </c>
      <c r="F4" s="8">
        <v>881440823</v>
      </c>
      <c r="G4" s="8">
        <v>694263548</v>
      </c>
      <c r="H4" s="8">
        <v>767898036</v>
      </c>
      <c r="I4" s="8">
        <v>744945928</v>
      </c>
      <c r="J4" s="8">
        <v>810596112</v>
      </c>
      <c r="K4" s="8">
        <v>1350183140</v>
      </c>
      <c r="L4" s="8">
        <v>1376958931</v>
      </c>
      <c r="M4" s="8">
        <v>1297379813</v>
      </c>
      <c r="N4" s="8">
        <v>1484646595</v>
      </c>
      <c r="O4" s="8">
        <v>1596064579</v>
      </c>
      <c r="P4" s="8">
        <v>1578145345</v>
      </c>
    </row>
    <row r="5" spans="1:17" x14ac:dyDescent="0.3">
      <c r="A5" s="9" t="s">
        <v>5</v>
      </c>
      <c r="B5" s="13">
        <v>379676583</v>
      </c>
      <c r="C5" s="13">
        <v>365735174</v>
      </c>
      <c r="D5" s="13">
        <v>422837752</v>
      </c>
      <c r="E5" s="13">
        <v>568284929</v>
      </c>
      <c r="F5" s="13">
        <v>881440823</v>
      </c>
      <c r="G5" s="13">
        <v>694263548</v>
      </c>
      <c r="H5" s="13">
        <v>767898036</v>
      </c>
      <c r="I5" s="13">
        <v>744945928</v>
      </c>
      <c r="J5" s="13">
        <v>810596112</v>
      </c>
      <c r="K5" s="13">
        <v>1316112040</v>
      </c>
      <c r="L5" s="13">
        <v>1362814034</v>
      </c>
      <c r="M5" s="13">
        <v>1297379813</v>
      </c>
      <c r="N5" s="13">
        <v>1358940312</v>
      </c>
      <c r="O5" s="13">
        <v>1592123674</v>
      </c>
      <c r="P5" s="13">
        <v>1573337275</v>
      </c>
    </row>
    <row r="6" spans="1:17" x14ac:dyDescent="0.3">
      <c r="A6" s="11" t="s">
        <v>6</v>
      </c>
      <c r="B6" s="8">
        <v>75272215</v>
      </c>
      <c r="C6" s="8">
        <v>23064067</v>
      </c>
      <c r="D6" s="8">
        <v>53876890</v>
      </c>
      <c r="E6" s="8">
        <v>19250402</v>
      </c>
      <c r="F6" s="8">
        <v>378919376</v>
      </c>
      <c r="G6" s="8">
        <v>136492472</v>
      </c>
      <c r="H6" s="8">
        <v>110914830</v>
      </c>
      <c r="I6" s="8">
        <v>145646465</v>
      </c>
      <c r="J6" s="8">
        <v>72748250</v>
      </c>
      <c r="K6" s="8">
        <v>447411760</v>
      </c>
      <c r="L6" s="8">
        <v>202481237</v>
      </c>
      <c r="M6" s="8">
        <v>108604768</v>
      </c>
      <c r="N6" s="8">
        <v>186542396</v>
      </c>
      <c r="O6" s="8">
        <v>530862387</v>
      </c>
      <c r="P6" s="8">
        <v>284520869</v>
      </c>
    </row>
    <row r="7" spans="1:17" x14ac:dyDescent="0.3">
      <c r="A7" s="11" t="s">
        <v>7</v>
      </c>
      <c r="B7" s="8">
        <v>870798</v>
      </c>
      <c r="C7" s="8">
        <v>5407220</v>
      </c>
      <c r="D7" s="8">
        <v>1277781</v>
      </c>
      <c r="E7" s="8">
        <v>15429775</v>
      </c>
      <c r="F7" s="8">
        <v>13146216</v>
      </c>
      <c r="G7" s="8">
        <v>23819813</v>
      </c>
      <c r="H7" s="8">
        <v>4765731</v>
      </c>
      <c r="I7" s="8">
        <v>2118672</v>
      </c>
      <c r="J7" s="8">
        <v>17161830</v>
      </c>
      <c r="K7" s="8">
        <v>162710301</v>
      </c>
      <c r="L7" s="8">
        <v>389290088</v>
      </c>
      <c r="M7" s="8">
        <v>326830155</v>
      </c>
      <c r="N7" s="8">
        <v>167147402</v>
      </c>
      <c r="O7" s="8">
        <v>170887333</v>
      </c>
      <c r="P7" s="8">
        <v>372506338</v>
      </c>
    </row>
    <row r="8" spans="1:17" x14ac:dyDescent="0.3">
      <c r="A8" s="11" t="s">
        <v>8</v>
      </c>
      <c r="B8" s="8">
        <v>13145025</v>
      </c>
      <c r="C8" s="8">
        <v>16754397</v>
      </c>
      <c r="D8" s="8">
        <v>15893854</v>
      </c>
      <c r="E8" s="8">
        <v>20280834</v>
      </c>
      <c r="F8" s="8">
        <v>28790192</v>
      </c>
      <c r="G8" s="8">
        <v>27519924</v>
      </c>
      <c r="H8" s="8">
        <v>28565561</v>
      </c>
      <c r="I8" s="8">
        <v>33994053</v>
      </c>
      <c r="J8" s="8">
        <v>108926269</v>
      </c>
      <c r="K8" s="8">
        <v>88438713</v>
      </c>
      <c r="L8" s="8">
        <v>85956936</v>
      </c>
      <c r="M8" s="8">
        <v>95306980</v>
      </c>
      <c r="N8" s="8">
        <v>108416636</v>
      </c>
      <c r="O8" s="8">
        <v>126041006</v>
      </c>
      <c r="P8" s="8">
        <v>125675223</v>
      </c>
    </row>
    <row r="9" spans="1:17" x14ac:dyDescent="0.3">
      <c r="A9" s="11" t="s">
        <v>9</v>
      </c>
      <c r="B9" s="8">
        <v>236011842</v>
      </c>
      <c r="C9" s="8">
        <v>251229640</v>
      </c>
      <c r="D9" s="8">
        <v>276768958</v>
      </c>
      <c r="E9" s="8">
        <v>326740821</v>
      </c>
      <c r="F9" s="8">
        <v>300591179</v>
      </c>
      <c r="G9" s="8">
        <v>308517488</v>
      </c>
      <c r="H9" s="8">
        <v>330626210</v>
      </c>
      <c r="I9" s="8">
        <v>346455962</v>
      </c>
      <c r="J9" s="8">
        <v>438739769</v>
      </c>
      <c r="K9" s="8">
        <v>508571105</v>
      </c>
      <c r="L9" s="8">
        <v>489258436</v>
      </c>
      <c r="M9" s="8">
        <v>620457323</v>
      </c>
      <c r="N9" s="8">
        <v>645453025</v>
      </c>
      <c r="O9" s="8">
        <v>633257358</v>
      </c>
      <c r="P9" s="8">
        <v>642310192</v>
      </c>
    </row>
    <row r="10" spans="1:17" x14ac:dyDescent="0.3">
      <c r="A10" s="11" t="s">
        <v>10</v>
      </c>
      <c r="B10" s="8">
        <v>469192</v>
      </c>
      <c r="C10" s="8">
        <v>722752</v>
      </c>
      <c r="D10" s="8">
        <v>379554</v>
      </c>
      <c r="E10" s="8">
        <v>521772</v>
      </c>
      <c r="F10" s="8">
        <v>492035</v>
      </c>
      <c r="G10" s="8">
        <v>698417</v>
      </c>
      <c r="H10" s="8">
        <v>971320</v>
      </c>
      <c r="I10" s="8">
        <v>414501</v>
      </c>
      <c r="J10" s="8">
        <v>389434</v>
      </c>
      <c r="K10" s="8">
        <v>464522</v>
      </c>
      <c r="L10" s="8">
        <v>294621</v>
      </c>
      <c r="M10" s="8">
        <v>210440</v>
      </c>
      <c r="N10" s="8">
        <v>696046</v>
      </c>
      <c r="O10" s="8">
        <v>628381</v>
      </c>
      <c r="P10" s="8">
        <v>405008</v>
      </c>
    </row>
    <row r="11" spans="1:17" x14ac:dyDescent="0.3">
      <c r="A11" s="11" t="s">
        <v>11</v>
      </c>
      <c r="B11" s="8">
        <v>36799196</v>
      </c>
      <c r="C11" s="8">
        <v>63091800</v>
      </c>
      <c r="D11" s="8">
        <v>66357874</v>
      </c>
      <c r="E11" s="8">
        <v>150457167</v>
      </c>
      <c r="F11" s="8">
        <v>107121667</v>
      </c>
      <c r="G11" s="8">
        <v>94434998</v>
      </c>
      <c r="H11" s="8">
        <v>91416726</v>
      </c>
      <c r="I11" s="8">
        <v>96928834</v>
      </c>
      <c r="J11" s="8">
        <v>120229703</v>
      </c>
      <c r="K11" s="8">
        <v>82615111</v>
      </c>
      <c r="L11" s="8">
        <v>77736315</v>
      </c>
      <c r="M11" s="8">
        <v>121126311</v>
      </c>
      <c r="N11" s="8">
        <v>120441247</v>
      </c>
      <c r="O11" s="8">
        <v>107545480</v>
      </c>
      <c r="P11" s="8">
        <v>121357956</v>
      </c>
    </row>
    <row r="12" spans="1:17" x14ac:dyDescent="0.3">
      <c r="A12" s="11" t="s">
        <v>12</v>
      </c>
      <c r="B12" s="8">
        <v>17108315</v>
      </c>
      <c r="C12" s="8">
        <v>5465298</v>
      </c>
      <c r="D12" s="8">
        <v>8282841</v>
      </c>
      <c r="E12" s="8">
        <v>35604158</v>
      </c>
      <c r="F12" s="8">
        <v>52380158</v>
      </c>
      <c r="G12" s="8">
        <v>102780436</v>
      </c>
      <c r="H12" s="8">
        <v>200637658</v>
      </c>
      <c r="I12" s="8">
        <v>119387441</v>
      </c>
      <c r="J12" s="8">
        <v>52400857</v>
      </c>
      <c r="K12" s="8">
        <v>25900528</v>
      </c>
      <c r="L12" s="8">
        <v>117796401</v>
      </c>
      <c r="M12" s="8">
        <v>24843836</v>
      </c>
      <c r="N12" s="8">
        <v>130243560</v>
      </c>
      <c r="O12" s="8">
        <v>22901729</v>
      </c>
      <c r="P12" s="8">
        <v>26561689</v>
      </c>
      <c r="Q12" s="14"/>
    </row>
    <row r="13" spans="1:17" x14ac:dyDescent="0.3">
      <c r="A13" s="9" t="s">
        <v>13</v>
      </c>
      <c r="B13" s="13">
        <v>0</v>
      </c>
      <c r="C13" s="13">
        <v>0</v>
      </c>
      <c r="D13" s="13">
        <v>0</v>
      </c>
      <c r="E13" s="13">
        <v>0</v>
      </c>
      <c r="F13" s="13">
        <v>0</v>
      </c>
      <c r="G13" s="13">
        <v>0</v>
      </c>
      <c r="H13" s="13">
        <v>0</v>
      </c>
      <c r="I13" s="13">
        <v>0</v>
      </c>
      <c r="J13" s="13">
        <v>0</v>
      </c>
      <c r="K13" s="13">
        <v>34071100</v>
      </c>
      <c r="L13" s="13">
        <v>14144897</v>
      </c>
      <c r="M13" s="13">
        <v>0</v>
      </c>
      <c r="N13" s="13">
        <v>125706283</v>
      </c>
      <c r="O13" s="13">
        <v>3940905</v>
      </c>
      <c r="P13" s="13">
        <v>4808070</v>
      </c>
    </row>
    <row r="14" spans="1:17" x14ac:dyDescent="0.3">
      <c r="A14" s="5" t="s">
        <v>14</v>
      </c>
      <c r="B14" s="8">
        <v>1109597566</v>
      </c>
      <c r="C14" s="8">
        <v>1192278832</v>
      </c>
      <c r="D14" s="8">
        <v>1272417453</v>
      </c>
      <c r="E14" s="8">
        <v>1688665069</v>
      </c>
      <c r="F14" s="8">
        <v>2154354580</v>
      </c>
      <c r="G14" s="8">
        <v>2568689768</v>
      </c>
      <c r="H14" s="8">
        <v>2712541498</v>
      </c>
      <c r="I14" s="8">
        <v>2784094245</v>
      </c>
      <c r="J14" s="8">
        <v>3153619159</v>
      </c>
      <c r="K14" s="8">
        <v>3819310462</v>
      </c>
      <c r="L14" s="8">
        <v>3511485601</v>
      </c>
      <c r="M14" s="8">
        <v>4120848560</v>
      </c>
      <c r="N14" s="8">
        <v>4110699844</v>
      </c>
      <c r="O14" s="8">
        <v>4102623143</v>
      </c>
      <c r="P14" s="8">
        <v>4420060076</v>
      </c>
    </row>
    <row r="15" spans="1:17" x14ac:dyDescent="0.3">
      <c r="A15" s="9" t="s">
        <v>15</v>
      </c>
      <c r="B15" s="13">
        <v>6057517</v>
      </c>
      <c r="C15" s="13">
        <v>5800553</v>
      </c>
      <c r="D15" s="13">
        <v>5977280</v>
      </c>
      <c r="E15" s="13">
        <v>4727636</v>
      </c>
      <c r="F15" s="13">
        <v>108727551</v>
      </c>
      <c r="G15" s="13">
        <v>247686318</v>
      </c>
      <c r="H15" s="13">
        <v>111987193</v>
      </c>
      <c r="I15" s="13">
        <v>36517409</v>
      </c>
      <c r="J15" s="13">
        <v>87538958</v>
      </c>
      <c r="K15" s="13">
        <v>175816161</v>
      </c>
      <c r="L15" s="13">
        <v>130512601</v>
      </c>
      <c r="M15" s="13">
        <v>397088066</v>
      </c>
      <c r="N15" s="13">
        <v>268795778</v>
      </c>
      <c r="O15" s="13">
        <v>264148776</v>
      </c>
      <c r="P15" s="13">
        <v>379088274</v>
      </c>
    </row>
    <row r="16" spans="1:17" x14ac:dyDescent="0.3">
      <c r="A16" s="9" t="s">
        <v>16</v>
      </c>
      <c r="B16" s="13">
        <v>3935778</v>
      </c>
      <c r="C16" s="13">
        <v>4718678</v>
      </c>
      <c r="D16" s="13">
        <v>3590693</v>
      </c>
      <c r="E16" s="13">
        <v>3957527</v>
      </c>
      <c r="F16" s="13">
        <v>2992605</v>
      </c>
      <c r="G16" s="13">
        <v>2708361</v>
      </c>
      <c r="H16" s="13">
        <v>4251614</v>
      </c>
      <c r="I16" s="13">
        <v>5897875</v>
      </c>
      <c r="J16" s="13">
        <v>159626594</v>
      </c>
      <c r="K16" s="13">
        <v>143778716</v>
      </c>
      <c r="L16" s="13">
        <v>106732933</v>
      </c>
      <c r="M16" s="13">
        <v>98554901</v>
      </c>
      <c r="N16" s="13">
        <v>77274714</v>
      </c>
      <c r="O16" s="13">
        <v>39295606</v>
      </c>
      <c r="P16" s="13">
        <v>45573142</v>
      </c>
    </row>
    <row r="17" spans="1:16" x14ac:dyDescent="0.3">
      <c r="A17" s="9" t="s">
        <v>17</v>
      </c>
      <c r="B17" s="13">
        <v>2807389</v>
      </c>
      <c r="C17" s="13">
        <v>5324234</v>
      </c>
      <c r="D17" s="13">
        <v>3724616</v>
      </c>
      <c r="E17" s="13">
        <v>5593517</v>
      </c>
      <c r="F17" s="13">
        <v>5467969</v>
      </c>
      <c r="G17" s="13">
        <v>11858759</v>
      </c>
      <c r="H17" s="13">
        <v>13587700</v>
      </c>
      <c r="I17" s="13">
        <v>5140856</v>
      </c>
      <c r="J17" s="13">
        <v>11966529</v>
      </c>
      <c r="K17" s="13">
        <v>8008847</v>
      </c>
      <c r="L17" s="13">
        <v>7606937</v>
      </c>
      <c r="M17" s="13">
        <v>8678034</v>
      </c>
      <c r="N17" s="13">
        <v>12634870</v>
      </c>
      <c r="O17" s="13">
        <v>7643918</v>
      </c>
      <c r="P17" s="13">
        <v>5559996</v>
      </c>
    </row>
    <row r="18" spans="1:16" x14ac:dyDescent="0.3">
      <c r="A18" s="9" t="s">
        <v>18</v>
      </c>
      <c r="B18" s="13">
        <v>0</v>
      </c>
      <c r="C18" s="13">
        <v>0</v>
      </c>
      <c r="D18" s="13">
        <v>0</v>
      </c>
      <c r="E18" s="13">
        <v>0</v>
      </c>
      <c r="F18" s="13">
        <v>0</v>
      </c>
      <c r="G18" s="13">
        <v>0</v>
      </c>
      <c r="H18" s="13">
        <v>0</v>
      </c>
      <c r="I18" s="13">
        <v>0</v>
      </c>
      <c r="J18" s="13">
        <v>0</v>
      </c>
      <c r="K18" s="13">
        <v>0</v>
      </c>
      <c r="L18" s="13">
        <v>0</v>
      </c>
      <c r="M18" s="13">
        <v>0</v>
      </c>
      <c r="N18" s="13">
        <v>0</v>
      </c>
      <c r="O18" s="13">
        <v>0</v>
      </c>
      <c r="P18" s="13">
        <v>0</v>
      </c>
    </row>
    <row r="19" spans="1:16" x14ac:dyDescent="0.3">
      <c r="A19" s="9" t="s">
        <v>19</v>
      </c>
      <c r="B19" s="13">
        <v>0</v>
      </c>
      <c r="C19" s="13">
        <v>0</v>
      </c>
      <c r="D19" s="13">
        <v>0</v>
      </c>
      <c r="E19" s="13">
        <v>0</v>
      </c>
      <c r="F19" s="13">
        <v>0</v>
      </c>
      <c r="G19" s="13">
        <v>0</v>
      </c>
      <c r="H19" s="13">
        <v>0</v>
      </c>
      <c r="I19" s="13">
        <v>0</v>
      </c>
      <c r="J19" s="13">
        <v>0</v>
      </c>
      <c r="K19" s="13">
        <v>0</v>
      </c>
      <c r="L19" s="13">
        <v>0</v>
      </c>
      <c r="M19" s="13">
        <v>0</v>
      </c>
      <c r="N19" s="13">
        <v>0</v>
      </c>
      <c r="O19" s="13">
        <v>0</v>
      </c>
      <c r="P19" s="13">
        <v>0</v>
      </c>
    </row>
    <row r="20" spans="1:16" x14ac:dyDescent="0.3">
      <c r="A20" s="9" t="s">
        <v>20</v>
      </c>
      <c r="B20" s="13">
        <v>0</v>
      </c>
      <c r="C20" s="13">
        <v>0</v>
      </c>
      <c r="D20" s="13">
        <v>0</v>
      </c>
      <c r="E20" s="13">
        <v>0</v>
      </c>
      <c r="F20" s="13">
        <v>0</v>
      </c>
      <c r="G20" s="13">
        <v>0</v>
      </c>
      <c r="H20" s="13">
        <v>0</v>
      </c>
      <c r="I20" s="13">
        <v>0</v>
      </c>
      <c r="J20" s="13">
        <v>0</v>
      </c>
      <c r="K20" s="13">
        <v>0</v>
      </c>
      <c r="L20" s="13">
        <v>0</v>
      </c>
      <c r="M20" s="13">
        <v>0</v>
      </c>
      <c r="N20" s="13">
        <v>0</v>
      </c>
      <c r="O20" s="13">
        <v>0</v>
      </c>
      <c r="P20" s="13">
        <v>0</v>
      </c>
    </row>
    <row r="21" spans="1:16" x14ac:dyDescent="0.3">
      <c r="A21" s="9" t="s">
        <v>21</v>
      </c>
      <c r="B21" s="13">
        <v>32665098</v>
      </c>
      <c r="C21" s="13">
        <v>31118433</v>
      </c>
      <c r="D21" s="13">
        <v>30371241</v>
      </c>
      <c r="E21" s="13">
        <v>133035056</v>
      </c>
      <c r="F21" s="13">
        <v>136924227</v>
      </c>
      <c r="G21" s="13">
        <v>140663342</v>
      </c>
      <c r="H21" s="13">
        <v>321356334</v>
      </c>
      <c r="I21" s="13">
        <v>298921432</v>
      </c>
      <c r="J21" s="13">
        <v>314966856</v>
      </c>
      <c r="K21" s="13">
        <v>332273146</v>
      </c>
      <c r="L21" s="13">
        <v>280882103</v>
      </c>
      <c r="M21" s="13">
        <v>388041277</v>
      </c>
      <c r="N21" s="13">
        <v>389794734</v>
      </c>
      <c r="O21" s="13">
        <v>390568664</v>
      </c>
      <c r="P21" s="13">
        <v>419565634</v>
      </c>
    </row>
    <row r="22" spans="1:16" x14ac:dyDescent="0.3">
      <c r="A22" s="9" t="s">
        <v>22</v>
      </c>
      <c r="B22" s="13">
        <v>45821474</v>
      </c>
      <c r="C22" s="13">
        <v>45895283</v>
      </c>
      <c r="D22" s="13">
        <v>45895283</v>
      </c>
      <c r="E22" s="13">
        <v>47095064</v>
      </c>
      <c r="F22" s="13">
        <v>47193868</v>
      </c>
      <c r="G22" s="13">
        <v>47227912</v>
      </c>
      <c r="H22" s="13">
        <v>47173134</v>
      </c>
      <c r="I22" s="13">
        <v>47109078</v>
      </c>
      <c r="J22" s="13">
        <v>47215753</v>
      </c>
      <c r="K22" s="13">
        <v>47342392</v>
      </c>
      <c r="L22" s="13">
        <v>47151825</v>
      </c>
      <c r="M22" s="13">
        <v>47251140</v>
      </c>
      <c r="N22" s="13">
        <v>47331130</v>
      </c>
      <c r="O22" s="13">
        <v>47411695</v>
      </c>
      <c r="P22" s="13">
        <v>47587672</v>
      </c>
    </row>
    <row r="23" spans="1:16" x14ac:dyDescent="0.3">
      <c r="A23" s="9" t="s">
        <v>23</v>
      </c>
      <c r="B23" s="13">
        <v>978457143</v>
      </c>
      <c r="C23" s="13">
        <v>1056555054</v>
      </c>
      <c r="D23" s="13">
        <v>1117450216</v>
      </c>
      <c r="E23" s="13">
        <v>1334268920</v>
      </c>
      <c r="F23" s="13">
        <v>1614978515</v>
      </c>
      <c r="G23" s="13">
        <v>1785575339</v>
      </c>
      <c r="H23" s="13">
        <v>1829611347</v>
      </c>
      <c r="I23" s="13">
        <v>1876555163</v>
      </c>
      <c r="J23" s="13">
        <v>2035133173</v>
      </c>
      <c r="K23" s="13">
        <v>2428714271</v>
      </c>
      <c r="L23" s="13">
        <v>1940341846</v>
      </c>
      <c r="M23" s="13">
        <v>2049999322</v>
      </c>
      <c r="N23" s="13">
        <v>2017214172</v>
      </c>
      <c r="O23" s="13">
        <v>2136965468</v>
      </c>
      <c r="P23" s="13">
        <v>2236288403</v>
      </c>
    </row>
    <row r="24" spans="1:16" x14ac:dyDescent="0.3">
      <c r="A24" s="9" t="s">
        <v>24</v>
      </c>
      <c r="B24" s="13">
        <v>0</v>
      </c>
      <c r="C24" s="13">
        <v>0</v>
      </c>
      <c r="D24" s="13">
        <v>0</v>
      </c>
      <c r="E24" s="13">
        <v>0</v>
      </c>
      <c r="F24" s="13">
        <v>0</v>
      </c>
      <c r="G24" s="13">
        <v>0</v>
      </c>
      <c r="H24" s="13">
        <v>0</v>
      </c>
      <c r="I24" s="13">
        <v>0</v>
      </c>
      <c r="J24" s="13">
        <v>0</v>
      </c>
      <c r="K24" s="13">
        <v>0</v>
      </c>
      <c r="L24" s="13">
        <v>0</v>
      </c>
      <c r="M24" s="13">
        <v>0</v>
      </c>
      <c r="N24" s="13">
        <v>0</v>
      </c>
      <c r="O24" s="13">
        <v>0</v>
      </c>
      <c r="P24" s="13">
        <v>0</v>
      </c>
    </row>
    <row r="25" spans="1:16" x14ac:dyDescent="0.3">
      <c r="A25" s="9" t="s">
        <v>25</v>
      </c>
      <c r="B25" s="13">
        <v>0</v>
      </c>
      <c r="C25" s="13">
        <v>0</v>
      </c>
      <c r="D25" s="13">
        <v>0</v>
      </c>
      <c r="E25" s="13">
        <v>0</v>
      </c>
      <c r="F25" s="13">
        <v>0</v>
      </c>
      <c r="G25" s="13">
        <v>0</v>
      </c>
      <c r="H25" s="13">
        <v>0</v>
      </c>
      <c r="I25" s="13">
        <v>0</v>
      </c>
      <c r="J25" s="13">
        <v>0</v>
      </c>
      <c r="K25" s="13">
        <v>0</v>
      </c>
      <c r="L25" s="13">
        <v>0</v>
      </c>
      <c r="M25" s="13">
        <v>0</v>
      </c>
      <c r="N25" s="13">
        <v>0</v>
      </c>
      <c r="O25" s="13">
        <v>0</v>
      </c>
      <c r="P25" s="13">
        <v>0</v>
      </c>
    </row>
    <row r="26" spans="1:16" x14ac:dyDescent="0.3">
      <c r="A26" s="9" t="s">
        <v>26</v>
      </c>
      <c r="B26" s="10" t="s">
        <v>1</v>
      </c>
      <c r="C26" s="13">
        <v>0</v>
      </c>
      <c r="D26" s="13">
        <v>0</v>
      </c>
      <c r="E26" s="13">
        <v>0</v>
      </c>
      <c r="F26" s="13">
        <v>0</v>
      </c>
      <c r="G26" s="13">
        <v>0</v>
      </c>
      <c r="H26" s="13">
        <v>0</v>
      </c>
      <c r="I26" s="13">
        <v>0</v>
      </c>
      <c r="J26" s="13">
        <v>0</v>
      </c>
      <c r="K26" s="13">
        <v>0</v>
      </c>
      <c r="L26" s="13">
        <v>362410839</v>
      </c>
      <c r="M26" s="13">
        <v>442122455</v>
      </c>
      <c r="N26" s="13">
        <v>472818691</v>
      </c>
      <c r="O26" s="13">
        <v>485851073</v>
      </c>
      <c r="P26" s="13">
        <v>504591654</v>
      </c>
    </row>
    <row r="27" spans="1:16" x14ac:dyDescent="0.3">
      <c r="A27" s="9" t="s">
        <v>27</v>
      </c>
      <c r="B27" s="13">
        <v>0</v>
      </c>
      <c r="C27" s="13">
        <v>0</v>
      </c>
      <c r="D27" s="13">
        <v>0</v>
      </c>
      <c r="E27" s="13">
        <v>0</v>
      </c>
      <c r="F27" s="13">
        <v>0</v>
      </c>
      <c r="G27" s="13">
        <v>0</v>
      </c>
      <c r="H27" s="13">
        <v>0</v>
      </c>
      <c r="I27" s="13">
        <v>111376114</v>
      </c>
      <c r="J27" s="13">
        <v>2366841</v>
      </c>
      <c r="K27" s="13">
        <v>995171</v>
      </c>
      <c r="L27" s="13">
        <v>1078992</v>
      </c>
      <c r="M27" s="13">
        <v>640498</v>
      </c>
      <c r="N27" s="13">
        <v>1593767</v>
      </c>
      <c r="O27" s="13">
        <v>0</v>
      </c>
      <c r="P27" s="13">
        <v>0</v>
      </c>
    </row>
    <row r="28" spans="1:16" x14ac:dyDescent="0.3">
      <c r="A28" s="9" t="s">
        <v>28</v>
      </c>
      <c r="B28" s="13">
        <v>39853167</v>
      </c>
      <c r="C28" s="13">
        <v>42866597</v>
      </c>
      <c r="D28" s="13">
        <v>65408124</v>
      </c>
      <c r="E28" s="13">
        <v>159987349</v>
      </c>
      <c r="F28" s="13">
        <v>238069845</v>
      </c>
      <c r="G28" s="13">
        <v>332969737</v>
      </c>
      <c r="H28" s="13">
        <v>384574176</v>
      </c>
      <c r="I28" s="13">
        <v>402576318</v>
      </c>
      <c r="J28" s="13">
        <v>494804455</v>
      </c>
      <c r="K28" s="13">
        <v>682381758</v>
      </c>
      <c r="L28" s="13">
        <v>634767525</v>
      </c>
      <c r="M28" s="13">
        <v>688472867</v>
      </c>
      <c r="N28" s="13">
        <v>823241988</v>
      </c>
      <c r="O28" s="13">
        <v>730737943</v>
      </c>
      <c r="P28" s="13">
        <v>781805301</v>
      </c>
    </row>
    <row r="29" spans="1:16" x14ac:dyDescent="0.3">
      <c r="A29" s="5" t="s">
        <v>29</v>
      </c>
      <c r="B29" s="8">
        <v>0</v>
      </c>
      <c r="C29" s="8">
        <v>0</v>
      </c>
      <c r="D29" s="8">
        <v>0</v>
      </c>
      <c r="E29" s="8">
        <v>0</v>
      </c>
      <c r="F29" s="8">
        <v>0</v>
      </c>
      <c r="G29" s="8">
        <v>0</v>
      </c>
      <c r="H29" s="8">
        <v>0</v>
      </c>
      <c r="I29" s="8">
        <v>0</v>
      </c>
      <c r="J29" s="8">
        <v>0</v>
      </c>
      <c r="K29" s="8">
        <v>0</v>
      </c>
      <c r="L29" s="8">
        <v>0</v>
      </c>
      <c r="M29" s="8">
        <v>0</v>
      </c>
      <c r="N29" s="8">
        <v>0</v>
      </c>
      <c r="O29" s="8">
        <v>0</v>
      </c>
      <c r="P29" s="8">
        <v>0</v>
      </c>
    </row>
    <row r="30" spans="1:16" x14ac:dyDescent="0.3">
      <c r="A30" s="2"/>
      <c r="B30" s="4"/>
      <c r="C30" s="4"/>
      <c r="D30" s="4"/>
      <c r="E30" s="4"/>
      <c r="F30" s="4"/>
      <c r="G30" s="4"/>
      <c r="H30" s="4"/>
      <c r="I30" s="4"/>
      <c r="J30" s="4"/>
      <c r="K30" s="4"/>
      <c r="L30" s="4"/>
      <c r="M30" s="4"/>
      <c r="N30" s="4"/>
      <c r="O30" s="4"/>
      <c r="P30" s="4"/>
    </row>
    <row r="31" spans="1:16" x14ac:dyDescent="0.3">
      <c r="A31" s="2" t="s">
        <v>30</v>
      </c>
      <c r="B31" s="4" t="s">
        <v>0</v>
      </c>
      <c r="C31" s="4" t="s">
        <v>0</v>
      </c>
      <c r="D31" s="4" t="s">
        <v>0</v>
      </c>
      <c r="E31" s="4" t="s">
        <v>0</v>
      </c>
      <c r="F31" s="4" t="s">
        <v>0</v>
      </c>
      <c r="G31" s="4" t="s">
        <v>0</v>
      </c>
      <c r="H31" s="4" t="s">
        <v>0</v>
      </c>
      <c r="I31" s="4" t="s">
        <v>0</v>
      </c>
      <c r="J31" s="4" t="s">
        <v>0</v>
      </c>
      <c r="K31" s="4" t="s">
        <v>0</v>
      </c>
      <c r="L31" s="4" t="s">
        <v>0</v>
      </c>
      <c r="M31" s="4" t="s">
        <v>0</v>
      </c>
      <c r="N31" s="4" t="s">
        <v>0</v>
      </c>
      <c r="O31" s="4" t="s">
        <v>0</v>
      </c>
      <c r="P31" s="4" t="s">
        <v>0</v>
      </c>
    </row>
    <row r="32" spans="1:16" x14ac:dyDescent="0.3">
      <c r="A32" s="2" t="s">
        <v>31</v>
      </c>
      <c r="B32" s="6">
        <v>1489274149</v>
      </c>
      <c r="C32" s="6">
        <v>1558014006</v>
      </c>
      <c r="D32" s="6">
        <v>1695255205</v>
      </c>
      <c r="E32" s="6">
        <v>2256949998</v>
      </c>
      <c r="F32" s="6">
        <v>3035795403</v>
      </c>
      <c r="G32" s="6">
        <v>3262953316</v>
      </c>
      <c r="H32" s="6">
        <v>3480439534</v>
      </c>
      <c r="I32" s="6">
        <v>3529040173</v>
      </c>
      <c r="J32" s="6">
        <v>3964215271</v>
      </c>
      <c r="K32" s="6">
        <v>5169493602</v>
      </c>
      <c r="L32" s="6">
        <v>4888444532</v>
      </c>
      <c r="M32" s="6">
        <v>5418228373</v>
      </c>
      <c r="N32" s="6">
        <v>5595346439</v>
      </c>
      <c r="O32" s="6">
        <v>5698687722</v>
      </c>
      <c r="P32" s="6">
        <v>5998205421</v>
      </c>
    </row>
    <row r="33" spans="1:16" x14ac:dyDescent="0.3">
      <c r="A33" s="5" t="s">
        <v>32</v>
      </c>
      <c r="B33" s="8">
        <v>767899626</v>
      </c>
      <c r="C33" s="8">
        <v>784936915</v>
      </c>
      <c r="D33" s="8">
        <v>881248684</v>
      </c>
      <c r="E33" s="8">
        <v>1375864886</v>
      </c>
      <c r="F33" s="8">
        <v>2079450541</v>
      </c>
      <c r="G33" s="8">
        <v>2307606436</v>
      </c>
      <c r="H33" s="8">
        <v>2218566793</v>
      </c>
      <c r="I33" s="8">
        <v>2290689003</v>
      </c>
      <c r="J33" s="8">
        <v>2597793309</v>
      </c>
      <c r="K33" s="8">
        <v>3560819204</v>
      </c>
      <c r="L33" s="8">
        <v>3379954105</v>
      </c>
      <c r="M33" s="8">
        <v>3915183006</v>
      </c>
      <c r="N33" s="8">
        <v>4040830663</v>
      </c>
      <c r="O33" s="8">
        <v>4023234762</v>
      </c>
      <c r="P33" s="8">
        <v>4190615794</v>
      </c>
    </row>
    <row r="34" spans="1:16" x14ac:dyDescent="0.3">
      <c r="A34" s="9" t="s">
        <v>33</v>
      </c>
      <c r="B34" s="13">
        <v>376371289</v>
      </c>
      <c r="C34" s="13">
        <v>394261450</v>
      </c>
      <c r="D34" s="13">
        <v>439322720</v>
      </c>
      <c r="E34" s="13">
        <v>515270360</v>
      </c>
      <c r="F34" s="13">
        <v>586386773</v>
      </c>
      <c r="G34" s="13">
        <v>585028258</v>
      </c>
      <c r="H34" s="13">
        <v>576051414</v>
      </c>
      <c r="I34" s="13">
        <v>623404767</v>
      </c>
      <c r="J34" s="13">
        <v>658742932</v>
      </c>
      <c r="K34" s="13">
        <v>891001450</v>
      </c>
      <c r="L34" s="13">
        <v>814156775</v>
      </c>
      <c r="M34" s="13">
        <v>1159502396</v>
      </c>
      <c r="N34" s="13">
        <v>1132020070</v>
      </c>
      <c r="O34" s="13">
        <v>1336992696</v>
      </c>
      <c r="P34" s="13">
        <v>1341385602</v>
      </c>
    </row>
    <row r="35" spans="1:16" x14ac:dyDescent="0.3">
      <c r="A35" s="11" t="s">
        <v>34</v>
      </c>
      <c r="B35" s="8">
        <v>376371289</v>
      </c>
      <c r="C35" s="8">
        <v>394261450</v>
      </c>
      <c r="D35" s="8">
        <v>439322720</v>
      </c>
      <c r="E35" s="8">
        <v>515270360</v>
      </c>
      <c r="F35" s="8">
        <v>586386773</v>
      </c>
      <c r="G35" s="8">
        <v>585028258</v>
      </c>
      <c r="H35" s="8">
        <v>576051414</v>
      </c>
      <c r="I35" s="8">
        <v>623404767</v>
      </c>
      <c r="J35" s="8">
        <v>658742932</v>
      </c>
      <c r="K35" s="8">
        <v>891001450</v>
      </c>
      <c r="L35" s="8">
        <v>814156775</v>
      </c>
      <c r="M35" s="8">
        <v>1159502396</v>
      </c>
      <c r="N35" s="8">
        <v>1132020070</v>
      </c>
      <c r="O35" s="8">
        <v>1336992696</v>
      </c>
      <c r="P35" s="8">
        <v>1341385602</v>
      </c>
    </row>
    <row r="36" spans="1:16" x14ac:dyDescent="0.3">
      <c r="A36" s="12" t="s">
        <v>35</v>
      </c>
      <c r="B36" s="6">
        <v>14570686</v>
      </c>
      <c r="C36" s="6">
        <v>18584041</v>
      </c>
      <c r="D36" s="6">
        <v>28047529</v>
      </c>
      <c r="E36" s="6">
        <v>27243106</v>
      </c>
      <c r="F36" s="6">
        <v>20772473</v>
      </c>
      <c r="G36" s="6">
        <v>21736406</v>
      </c>
      <c r="H36" s="6">
        <v>24867284</v>
      </c>
      <c r="I36" s="6">
        <v>36540044</v>
      </c>
      <c r="J36" s="6">
        <v>20617883</v>
      </c>
      <c r="K36" s="6">
        <v>28813909</v>
      </c>
      <c r="L36" s="6">
        <v>22733634</v>
      </c>
      <c r="M36" s="6">
        <v>196857268</v>
      </c>
      <c r="N36" s="6">
        <v>275135592</v>
      </c>
      <c r="O36" s="6">
        <v>337854552</v>
      </c>
      <c r="P36" s="6">
        <v>333701865</v>
      </c>
    </row>
    <row r="37" spans="1:16" x14ac:dyDescent="0.3">
      <c r="A37" s="12" t="s">
        <v>36</v>
      </c>
      <c r="B37" s="4" t="s">
        <v>1</v>
      </c>
      <c r="C37" s="6">
        <v>0</v>
      </c>
      <c r="D37" s="6">
        <v>0</v>
      </c>
      <c r="E37" s="6">
        <v>0</v>
      </c>
      <c r="F37" s="6">
        <v>0</v>
      </c>
      <c r="G37" s="6">
        <v>0</v>
      </c>
      <c r="H37" s="6">
        <v>0</v>
      </c>
      <c r="I37" s="6">
        <v>0</v>
      </c>
      <c r="J37" s="6">
        <v>0</v>
      </c>
      <c r="K37" s="6">
        <v>0</v>
      </c>
      <c r="L37" s="6">
        <v>75453147</v>
      </c>
      <c r="M37" s="6">
        <v>105314134</v>
      </c>
      <c r="N37" s="6">
        <v>109048285</v>
      </c>
      <c r="O37" s="6">
        <v>120979892</v>
      </c>
      <c r="P37" s="6">
        <v>126171946</v>
      </c>
    </row>
    <row r="38" spans="1:16" x14ac:dyDescent="0.3">
      <c r="A38" s="12" t="s">
        <v>37</v>
      </c>
      <c r="B38" s="6">
        <v>319275469</v>
      </c>
      <c r="C38" s="6">
        <v>326224772</v>
      </c>
      <c r="D38" s="6">
        <v>373510494</v>
      </c>
      <c r="E38" s="6">
        <v>466529349</v>
      </c>
      <c r="F38" s="6">
        <v>529009412</v>
      </c>
      <c r="G38" s="6">
        <v>525128910</v>
      </c>
      <c r="H38" s="6">
        <v>505044060</v>
      </c>
      <c r="I38" s="6">
        <v>545150721</v>
      </c>
      <c r="J38" s="6">
        <v>553734579</v>
      </c>
      <c r="K38" s="6">
        <v>729338168</v>
      </c>
      <c r="L38" s="6">
        <v>662449107</v>
      </c>
      <c r="M38" s="6">
        <v>746239147</v>
      </c>
      <c r="N38" s="6">
        <v>694816615</v>
      </c>
      <c r="O38" s="6">
        <v>791220467</v>
      </c>
      <c r="P38" s="6">
        <v>756695389</v>
      </c>
    </row>
    <row r="39" spans="1:16" x14ac:dyDescent="0.3">
      <c r="A39" s="12" t="s">
        <v>38</v>
      </c>
      <c r="B39" s="6">
        <v>0</v>
      </c>
      <c r="C39" s="6">
        <v>0</v>
      </c>
      <c r="D39" s="6">
        <v>0</v>
      </c>
      <c r="E39" s="6">
        <v>0</v>
      </c>
      <c r="F39" s="6">
        <v>0</v>
      </c>
      <c r="G39" s="6">
        <v>0</v>
      </c>
      <c r="H39" s="6">
        <v>0</v>
      </c>
      <c r="I39" s="6">
        <v>0</v>
      </c>
      <c r="J39" s="6">
        <v>298309</v>
      </c>
      <c r="K39" s="6">
        <v>170385</v>
      </c>
      <c r="L39" s="6">
        <v>332181</v>
      </c>
      <c r="M39" s="6">
        <v>607794</v>
      </c>
      <c r="N39" s="6">
        <v>813773</v>
      </c>
      <c r="O39" s="6">
        <v>2509437</v>
      </c>
      <c r="P39" s="6">
        <v>3064738</v>
      </c>
    </row>
    <row r="40" spans="1:16" x14ac:dyDescent="0.3">
      <c r="A40" s="12" t="s">
        <v>39</v>
      </c>
      <c r="B40" s="6">
        <v>689270</v>
      </c>
      <c r="C40" s="6">
        <v>578262</v>
      </c>
      <c r="D40" s="6">
        <v>1635708</v>
      </c>
      <c r="E40" s="6">
        <v>153974</v>
      </c>
      <c r="F40" s="6">
        <v>180492</v>
      </c>
      <c r="G40" s="6">
        <v>3435395</v>
      </c>
      <c r="H40" s="6">
        <v>5161827</v>
      </c>
      <c r="I40" s="6">
        <v>7369584</v>
      </c>
      <c r="J40" s="6">
        <v>8446048</v>
      </c>
      <c r="K40" s="6">
        <v>1841742</v>
      </c>
      <c r="L40" s="6">
        <v>1479547</v>
      </c>
      <c r="M40" s="6">
        <v>1539643</v>
      </c>
      <c r="N40" s="6">
        <v>2111012</v>
      </c>
      <c r="O40" s="6">
        <v>3837218</v>
      </c>
      <c r="P40" s="6">
        <v>5138266</v>
      </c>
    </row>
    <row r="41" spans="1:16" x14ac:dyDescent="0.3">
      <c r="A41" s="12" t="s">
        <v>40</v>
      </c>
      <c r="B41" s="6">
        <v>201105</v>
      </c>
      <c r="C41" s="6">
        <v>7951010</v>
      </c>
      <c r="D41" s="6">
        <v>5718341</v>
      </c>
      <c r="E41" s="6">
        <v>1346165</v>
      </c>
      <c r="F41" s="6">
        <v>12866595</v>
      </c>
      <c r="G41" s="6">
        <v>5992038</v>
      </c>
      <c r="H41" s="6">
        <v>4869489</v>
      </c>
      <c r="I41" s="6">
        <v>355884</v>
      </c>
      <c r="J41" s="6">
        <v>43407612</v>
      </c>
      <c r="K41" s="6">
        <v>99275308</v>
      </c>
      <c r="L41" s="6">
        <v>14700058</v>
      </c>
      <c r="M41" s="6">
        <v>57204467</v>
      </c>
      <c r="N41" s="6">
        <v>15177415</v>
      </c>
      <c r="O41" s="6">
        <v>46692235</v>
      </c>
      <c r="P41" s="6">
        <v>82905491</v>
      </c>
    </row>
    <row r="42" spans="1:16" x14ac:dyDescent="0.3">
      <c r="A42" s="12" t="s">
        <v>41</v>
      </c>
      <c r="B42" s="6">
        <v>0</v>
      </c>
      <c r="C42" s="6">
        <v>0</v>
      </c>
      <c r="D42" s="6">
        <v>0</v>
      </c>
      <c r="E42" s="6">
        <v>0</v>
      </c>
      <c r="F42" s="6">
        <v>0</v>
      </c>
      <c r="G42" s="6">
        <v>0</v>
      </c>
      <c r="H42" s="6">
        <v>0</v>
      </c>
      <c r="I42" s="6">
        <v>0</v>
      </c>
      <c r="J42" s="6">
        <v>0</v>
      </c>
      <c r="K42" s="6">
        <v>0</v>
      </c>
      <c r="L42" s="6">
        <v>0</v>
      </c>
      <c r="M42" s="6">
        <v>0</v>
      </c>
      <c r="N42" s="6">
        <v>0</v>
      </c>
      <c r="O42" s="6">
        <v>0</v>
      </c>
      <c r="P42" s="6">
        <v>0</v>
      </c>
    </row>
    <row r="43" spans="1:16" x14ac:dyDescent="0.3">
      <c r="A43" s="12" t="s">
        <v>42</v>
      </c>
      <c r="B43" s="6">
        <v>41634759</v>
      </c>
      <c r="C43" s="6">
        <v>40923365</v>
      </c>
      <c r="D43" s="6">
        <v>30410648</v>
      </c>
      <c r="E43" s="6">
        <v>19997766</v>
      </c>
      <c r="F43" s="6">
        <v>23557801</v>
      </c>
      <c r="G43" s="6">
        <v>28735509</v>
      </c>
      <c r="H43" s="6">
        <v>36108754</v>
      </c>
      <c r="I43" s="6">
        <v>33988534</v>
      </c>
      <c r="J43" s="6">
        <v>32238501</v>
      </c>
      <c r="K43" s="6">
        <v>31561938</v>
      </c>
      <c r="L43" s="6">
        <v>37009101</v>
      </c>
      <c r="M43" s="6">
        <v>51739943</v>
      </c>
      <c r="N43" s="6">
        <v>34917378</v>
      </c>
      <c r="O43" s="6">
        <v>33898895</v>
      </c>
      <c r="P43" s="6">
        <v>33707907</v>
      </c>
    </row>
    <row r="44" spans="1:16" x14ac:dyDescent="0.3">
      <c r="A44" s="11" t="s">
        <v>43</v>
      </c>
      <c r="B44" s="8">
        <v>0</v>
      </c>
      <c r="C44" s="8">
        <v>0</v>
      </c>
      <c r="D44" s="8">
        <v>0</v>
      </c>
      <c r="E44" s="8">
        <v>0</v>
      </c>
      <c r="F44" s="8">
        <v>0</v>
      </c>
      <c r="G44" s="8">
        <v>0</v>
      </c>
      <c r="H44" s="8">
        <v>0</v>
      </c>
      <c r="I44" s="8">
        <v>0</v>
      </c>
      <c r="J44" s="8">
        <v>0</v>
      </c>
      <c r="K44" s="8">
        <v>0</v>
      </c>
      <c r="L44" s="8">
        <v>0</v>
      </c>
      <c r="M44" s="8">
        <v>0</v>
      </c>
      <c r="N44" s="8">
        <v>0</v>
      </c>
      <c r="O44" s="8">
        <v>0</v>
      </c>
      <c r="P44" s="8">
        <v>0</v>
      </c>
    </row>
    <row r="45" spans="1:16" x14ac:dyDescent="0.3">
      <c r="A45" s="9" t="s">
        <v>44</v>
      </c>
      <c r="B45" s="13">
        <v>391528337</v>
      </c>
      <c r="C45" s="13">
        <v>390675465</v>
      </c>
      <c r="D45" s="13">
        <v>441925964</v>
      </c>
      <c r="E45" s="13">
        <v>860594526</v>
      </c>
      <c r="F45" s="13">
        <v>1493063768</v>
      </c>
      <c r="G45" s="13">
        <v>1722578178</v>
      </c>
      <c r="H45" s="13">
        <v>1642515379</v>
      </c>
      <c r="I45" s="13">
        <v>1667284236</v>
      </c>
      <c r="J45" s="13">
        <v>1939050377</v>
      </c>
      <c r="K45" s="13">
        <v>2669817754</v>
      </c>
      <c r="L45" s="13">
        <v>2565797330</v>
      </c>
      <c r="M45" s="13">
        <v>2755680610</v>
      </c>
      <c r="N45" s="13">
        <v>2908810593</v>
      </c>
      <c r="O45" s="13">
        <v>2686242066</v>
      </c>
      <c r="P45" s="13">
        <v>2849230192</v>
      </c>
    </row>
    <row r="46" spans="1:16" x14ac:dyDescent="0.3">
      <c r="A46" s="11" t="s">
        <v>45</v>
      </c>
      <c r="B46" s="8">
        <v>350331042</v>
      </c>
      <c r="C46" s="8">
        <v>353504014</v>
      </c>
      <c r="D46" s="8">
        <v>407736898</v>
      </c>
      <c r="E46" s="8">
        <v>813151112</v>
      </c>
      <c r="F46" s="8">
        <v>1434258466</v>
      </c>
      <c r="G46" s="8">
        <v>1654135122</v>
      </c>
      <c r="H46" s="8">
        <v>1576910775</v>
      </c>
      <c r="I46" s="8">
        <v>1590913982</v>
      </c>
      <c r="J46" s="8">
        <v>1794895669</v>
      </c>
      <c r="K46" s="8">
        <v>1969001930</v>
      </c>
      <c r="L46" s="8">
        <v>1856453965</v>
      </c>
      <c r="M46" s="8">
        <v>1935510606</v>
      </c>
      <c r="N46" s="8">
        <v>1945802091</v>
      </c>
      <c r="O46" s="8">
        <v>1775723807</v>
      </c>
      <c r="P46" s="8">
        <v>1910809618</v>
      </c>
    </row>
    <row r="47" spans="1:16" x14ac:dyDescent="0.3">
      <c r="A47" s="11" t="s">
        <v>46</v>
      </c>
      <c r="B47" s="7" t="s">
        <v>1</v>
      </c>
      <c r="C47" s="8">
        <v>0</v>
      </c>
      <c r="D47" s="8">
        <v>0</v>
      </c>
      <c r="E47" s="8">
        <v>0</v>
      </c>
      <c r="F47" s="8">
        <v>0</v>
      </c>
      <c r="G47" s="8">
        <v>0</v>
      </c>
      <c r="H47" s="8">
        <v>0</v>
      </c>
      <c r="I47" s="8">
        <v>0</v>
      </c>
      <c r="J47" s="8">
        <v>0</v>
      </c>
      <c r="K47" s="8">
        <v>0</v>
      </c>
      <c r="L47" s="8">
        <v>428773709</v>
      </c>
      <c r="M47" s="8">
        <v>486102565</v>
      </c>
      <c r="N47" s="8">
        <v>500043082</v>
      </c>
      <c r="O47" s="8">
        <v>471903079</v>
      </c>
      <c r="P47" s="8">
        <v>487983377</v>
      </c>
    </row>
    <row r="48" spans="1:16" x14ac:dyDescent="0.3">
      <c r="A48" s="11" t="s">
        <v>47</v>
      </c>
      <c r="B48" s="8">
        <v>0</v>
      </c>
      <c r="C48" s="8">
        <v>0</v>
      </c>
      <c r="D48" s="8">
        <v>0</v>
      </c>
      <c r="E48" s="8">
        <v>0</v>
      </c>
      <c r="F48" s="8">
        <v>0</v>
      </c>
      <c r="G48" s="8">
        <v>0</v>
      </c>
      <c r="H48" s="8">
        <v>0</v>
      </c>
      <c r="I48" s="8">
        <v>0</v>
      </c>
      <c r="J48" s="8">
        <v>0</v>
      </c>
      <c r="K48" s="8">
        <v>432945770</v>
      </c>
      <c r="L48" s="8">
        <v>0</v>
      </c>
      <c r="M48" s="8">
        <v>0</v>
      </c>
      <c r="N48" s="8">
        <v>0</v>
      </c>
      <c r="O48" s="8">
        <v>0</v>
      </c>
      <c r="P48" s="8">
        <v>0</v>
      </c>
    </row>
    <row r="49" spans="1:16" x14ac:dyDescent="0.3">
      <c r="A49" s="11" t="s">
        <v>48</v>
      </c>
      <c r="B49" s="8">
        <v>0</v>
      </c>
      <c r="C49" s="8">
        <v>0</v>
      </c>
      <c r="D49" s="8">
        <v>0</v>
      </c>
      <c r="E49" s="8">
        <v>0</v>
      </c>
      <c r="F49" s="8">
        <v>0</v>
      </c>
      <c r="G49" s="8">
        <v>0</v>
      </c>
      <c r="H49" s="8">
        <v>0</v>
      </c>
      <c r="I49" s="8">
        <v>0</v>
      </c>
      <c r="J49" s="8">
        <v>0</v>
      </c>
      <c r="K49" s="8">
        <v>0</v>
      </c>
      <c r="L49" s="8">
        <v>0</v>
      </c>
      <c r="M49" s="8">
        <v>0</v>
      </c>
      <c r="N49" s="8">
        <v>0</v>
      </c>
      <c r="O49" s="8">
        <v>0</v>
      </c>
      <c r="P49" s="8">
        <v>0</v>
      </c>
    </row>
    <row r="50" spans="1:16" x14ac:dyDescent="0.3">
      <c r="A50" s="11" t="s">
        <v>49</v>
      </c>
      <c r="B50" s="8">
        <v>4001616</v>
      </c>
      <c r="C50" s="8">
        <v>5123356</v>
      </c>
      <c r="D50" s="8">
        <v>5869233</v>
      </c>
      <c r="E50" s="8">
        <v>13370970</v>
      </c>
      <c r="F50" s="8">
        <v>19596432</v>
      </c>
      <c r="G50" s="8">
        <v>28582453</v>
      </c>
      <c r="H50" s="8">
        <v>34222292</v>
      </c>
      <c r="I50" s="8">
        <v>36481730</v>
      </c>
      <c r="J50" s="8">
        <v>44054481</v>
      </c>
      <c r="K50" s="8">
        <v>37285161</v>
      </c>
      <c r="L50" s="8">
        <v>37718865</v>
      </c>
      <c r="M50" s="8">
        <v>40770581</v>
      </c>
      <c r="N50" s="8">
        <v>47636807</v>
      </c>
      <c r="O50" s="8">
        <v>53255027</v>
      </c>
      <c r="P50" s="8">
        <v>55674624</v>
      </c>
    </row>
    <row r="51" spans="1:16" x14ac:dyDescent="0.3">
      <c r="A51" s="11" t="s">
        <v>50</v>
      </c>
      <c r="B51" s="8">
        <v>21345618</v>
      </c>
      <c r="C51" s="8">
        <v>11708289</v>
      </c>
      <c r="D51" s="8">
        <v>9093058</v>
      </c>
      <c r="E51" s="8">
        <v>19859855</v>
      </c>
      <c r="F51" s="8">
        <v>19989741</v>
      </c>
      <c r="G51" s="8">
        <v>19922788</v>
      </c>
      <c r="H51" s="8">
        <v>17821387</v>
      </c>
      <c r="I51" s="8">
        <v>22032668</v>
      </c>
      <c r="J51" s="8">
        <v>82345876</v>
      </c>
      <c r="K51" s="8">
        <v>204507336</v>
      </c>
      <c r="L51" s="8">
        <v>210225420</v>
      </c>
      <c r="M51" s="8">
        <v>260925087</v>
      </c>
      <c r="N51" s="8">
        <v>379612964</v>
      </c>
      <c r="O51" s="8">
        <v>179801727</v>
      </c>
      <c r="P51" s="8">
        <v>191799156</v>
      </c>
    </row>
    <row r="52" spans="1:16" x14ac:dyDescent="0.3">
      <c r="A52" s="11" t="s">
        <v>51</v>
      </c>
      <c r="B52" s="8">
        <v>0</v>
      </c>
      <c r="C52" s="8">
        <v>0</v>
      </c>
      <c r="D52" s="8">
        <v>0</v>
      </c>
      <c r="E52" s="8">
        <v>0</v>
      </c>
      <c r="F52" s="8">
        <v>0</v>
      </c>
      <c r="G52" s="8">
        <v>0</v>
      </c>
      <c r="H52" s="8">
        <v>0</v>
      </c>
      <c r="I52" s="8">
        <v>0</v>
      </c>
      <c r="J52" s="8">
        <v>0</v>
      </c>
      <c r="K52" s="8">
        <v>0</v>
      </c>
      <c r="L52" s="8">
        <v>0</v>
      </c>
      <c r="M52" s="8">
        <v>0</v>
      </c>
      <c r="N52" s="8">
        <v>0</v>
      </c>
      <c r="O52" s="8">
        <v>0</v>
      </c>
      <c r="P52" s="8">
        <v>0</v>
      </c>
    </row>
    <row r="53" spans="1:16" x14ac:dyDescent="0.3">
      <c r="A53" s="11" t="s">
        <v>52</v>
      </c>
      <c r="B53" s="8">
        <v>8257812</v>
      </c>
      <c r="C53" s="8">
        <v>7718074</v>
      </c>
      <c r="D53" s="8">
        <v>8007302</v>
      </c>
      <c r="E53" s="8">
        <v>7862489</v>
      </c>
      <c r="F53" s="8">
        <v>10226233</v>
      </c>
      <c r="G53" s="8">
        <v>9496303</v>
      </c>
      <c r="H53" s="8">
        <v>10407369</v>
      </c>
      <c r="I53" s="8">
        <v>12171468</v>
      </c>
      <c r="J53" s="8">
        <v>13189192</v>
      </c>
      <c r="K53" s="8">
        <v>15045267</v>
      </c>
      <c r="L53" s="8">
        <v>16071303</v>
      </c>
      <c r="M53" s="8">
        <v>14731566</v>
      </c>
      <c r="N53" s="8">
        <v>17094154</v>
      </c>
      <c r="O53" s="8">
        <v>14856299</v>
      </c>
      <c r="P53" s="8">
        <v>15213011</v>
      </c>
    </row>
    <row r="54" spans="1:16" x14ac:dyDescent="0.3">
      <c r="A54" s="11" t="s">
        <v>53</v>
      </c>
      <c r="B54" s="8">
        <v>7592249</v>
      </c>
      <c r="C54" s="8">
        <v>12621732</v>
      </c>
      <c r="D54" s="8">
        <v>11219473</v>
      </c>
      <c r="E54" s="8">
        <v>6350100</v>
      </c>
      <c r="F54" s="8">
        <v>8992896</v>
      </c>
      <c r="G54" s="8">
        <v>10441512</v>
      </c>
      <c r="H54" s="8">
        <v>3153556</v>
      </c>
      <c r="I54" s="8">
        <v>5684388</v>
      </c>
      <c r="J54" s="8">
        <v>4565159</v>
      </c>
      <c r="K54" s="8">
        <v>11032290</v>
      </c>
      <c r="L54" s="8">
        <v>16554068</v>
      </c>
      <c r="M54" s="8">
        <v>17640205</v>
      </c>
      <c r="N54" s="8">
        <v>18621495</v>
      </c>
      <c r="O54" s="8">
        <v>190702127</v>
      </c>
      <c r="P54" s="8">
        <v>187750406</v>
      </c>
    </row>
    <row r="55" spans="1:16" x14ac:dyDescent="0.3">
      <c r="A55" s="9" t="s">
        <v>54</v>
      </c>
      <c r="B55" s="13">
        <v>0</v>
      </c>
      <c r="C55" s="13">
        <v>0</v>
      </c>
      <c r="D55" s="13">
        <v>0</v>
      </c>
      <c r="E55" s="13">
        <v>0</v>
      </c>
      <c r="F55" s="13">
        <v>0</v>
      </c>
      <c r="G55" s="13">
        <v>0</v>
      </c>
      <c r="H55" s="13">
        <v>0</v>
      </c>
      <c r="I55" s="13">
        <v>0</v>
      </c>
      <c r="J55" s="13">
        <v>0</v>
      </c>
      <c r="K55" s="13">
        <v>0</v>
      </c>
      <c r="L55" s="13">
        <v>0</v>
      </c>
      <c r="M55" s="13">
        <v>0</v>
      </c>
      <c r="N55" s="13">
        <v>0</v>
      </c>
      <c r="O55" s="13">
        <v>0</v>
      </c>
      <c r="P55" s="13">
        <v>0</v>
      </c>
    </row>
    <row r="56" spans="1:16" x14ac:dyDescent="0.3">
      <c r="A56" s="5" t="s">
        <v>55</v>
      </c>
      <c r="B56" s="8">
        <v>721374523</v>
      </c>
      <c r="C56" s="8">
        <v>773077091</v>
      </c>
      <c r="D56" s="8">
        <v>814006521</v>
      </c>
      <c r="E56" s="8">
        <v>881085112</v>
      </c>
      <c r="F56" s="8">
        <v>956344862</v>
      </c>
      <c r="G56" s="8">
        <v>955346880</v>
      </c>
      <c r="H56" s="8">
        <v>1261872741</v>
      </c>
      <c r="I56" s="8">
        <v>1238351170</v>
      </c>
      <c r="J56" s="8">
        <v>1366421962</v>
      </c>
      <c r="K56" s="8">
        <v>1608674398</v>
      </c>
      <c r="L56" s="8">
        <v>1508490427</v>
      </c>
      <c r="M56" s="8">
        <v>1503045367</v>
      </c>
      <c r="N56" s="8">
        <v>1554515776</v>
      </c>
      <c r="O56" s="8">
        <v>1675452960</v>
      </c>
      <c r="P56" s="8">
        <v>1807589627</v>
      </c>
    </row>
    <row r="57" spans="1:16" x14ac:dyDescent="0.3">
      <c r="A57" s="9" t="s">
        <v>56</v>
      </c>
      <c r="B57" s="13">
        <v>721374523</v>
      </c>
      <c r="C57" s="13">
        <v>773077091</v>
      </c>
      <c r="D57" s="13">
        <v>814006521</v>
      </c>
      <c r="E57" s="13">
        <v>881085112</v>
      </c>
      <c r="F57" s="13">
        <v>956344862</v>
      </c>
      <c r="G57" s="13">
        <v>955346880</v>
      </c>
      <c r="H57" s="13">
        <v>1261872741</v>
      </c>
      <c r="I57" s="13">
        <v>1238351170</v>
      </c>
      <c r="J57" s="13">
        <v>1366421962</v>
      </c>
      <c r="K57" s="13">
        <v>1608674398</v>
      </c>
      <c r="L57" s="13">
        <v>1508490427</v>
      </c>
      <c r="M57" s="13">
        <v>1503045367</v>
      </c>
      <c r="N57" s="13">
        <v>1554515776</v>
      </c>
      <c r="O57" s="13">
        <v>1675452960</v>
      </c>
      <c r="P57" s="13">
        <v>1807589627</v>
      </c>
    </row>
    <row r="58" spans="1:16" x14ac:dyDescent="0.3">
      <c r="A58" s="11" t="s">
        <v>57</v>
      </c>
      <c r="B58" s="8">
        <v>522667566</v>
      </c>
      <c r="C58" s="8">
        <v>522667566</v>
      </c>
      <c r="D58" s="8">
        <v>522667566</v>
      </c>
      <c r="E58" s="8">
        <v>522667566</v>
      </c>
      <c r="F58" s="8">
        <v>522667566</v>
      </c>
      <c r="G58" s="8">
        <v>522667566</v>
      </c>
      <c r="H58" s="8">
        <v>874846615</v>
      </c>
      <c r="I58" s="8">
        <v>874846615</v>
      </c>
      <c r="J58" s="8">
        <v>874846615</v>
      </c>
      <c r="K58" s="8">
        <v>874846615</v>
      </c>
      <c r="L58" s="8">
        <v>874846615</v>
      </c>
      <c r="M58" s="8">
        <v>874846615</v>
      </c>
      <c r="N58" s="8">
        <v>874846615</v>
      </c>
      <c r="O58" s="8">
        <v>874846615</v>
      </c>
      <c r="P58" s="8">
        <v>874846615</v>
      </c>
    </row>
    <row r="59" spans="1:16" x14ac:dyDescent="0.3">
      <c r="A59" s="11" t="s">
        <v>58</v>
      </c>
      <c r="B59" s="8">
        <v>289688261</v>
      </c>
      <c r="C59" s="8">
        <v>310971879</v>
      </c>
      <c r="D59" s="8">
        <v>351037106</v>
      </c>
      <c r="E59" s="8">
        <v>415404634</v>
      </c>
      <c r="F59" s="8">
        <v>435949779</v>
      </c>
      <c r="G59" s="8">
        <v>426805977</v>
      </c>
      <c r="H59" s="8">
        <v>450716647</v>
      </c>
      <c r="I59" s="8">
        <v>481082173</v>
      </c>
      <c r="J59" s="8">
        <v>557981776</v>
      </c>
      <c r="K59" s="8">
        <v>665888250</v>
      </c>
      <c r="L59" s="8">
        <v>724749620</v>
      </c>
      <c r="M59" s="8">
        <v>549179854</v>
      </c>
      <c r="N59" s="8">
        <v>653958559</v>
      </c>
      <c r="O59" s="8">
        <v>687788006</v>
      </c>
      <c r="P59" s="8">
        <v>667356489</v>
      </c>
    </row>
    <row r="60" spans="1:16" x14ac:dyDescent="0.3">
      <c r="A60" s="11" t="s">
        <v>59</v>
      </c>
      <c r="B60" s="8">
        <v>0</v>
      </c>
      <c r="C60" s="8">
        <v>0</v>
      </c>
      <c r="D60" s="8">
        <v>0</v>
      </c>
      <c r="E60" s="8">
        <v>0</v>
      </c>
      <c r="F60" s="8">
        <v>0</v>
      </c>
      <c r="G60" s="8">
        <v>0</v>
      </c>
      <c r="H60" s="8">
        <v>0</v>
      </c>
      <c r="I60" s="8">
        <v>0</v>
      </c>
      <c r="J60" s="8">
        <v>0</v>
      </c>
      <c r="K60" s="8">
        <v>0</v>
      </c>
      <c r="L60" s="8">
        <v>0</v>
      </c>
      <c r="M60" s="8">
        <v>0</v>
      </c>
      <c r="N60" s="8">
        <v>0</v>
      </c>
      <c r="O60" s="8">
        <v>0</v>
      </c>
      <c r="P60" s="8">
        <v>0</v>
      </c>
    </row>
    <row r="61" spans="1:16" x14ac:dyDescent="0.3">
      <c r="A61" s="11" t="s">
        <v>60</v>
      </c>
      <c r="B61" s="8">
        <v>0</v>
      </c>
      <c r="C61" s="8">
        <v>0</v>
      </c>
      <c r="D61" s="8">
        <v>0</v>
      </c>
      <c r="E61" s="8">
        <v>0</v>
      </c>
      <c r="F61" s="8">
        <v>0</v>
      </c>
      <c r="G61" s="8">
        <v>0</v>
      </c>
      <c r="H61" s="8">
        <v>0</v>
      </c>
      <c r="I61" s="8">
        <v>0</v>
      </c>
      <c r="J61" s="8">
        <v>0</v>
      </c>
      <c r="K61" s="8">
        <v>0</v>
      </c>
      <c r="L61" s="8">
        <v>0</v>
      </c>
      <c r="M61" s="8">
        <v>0</v>
      </c>
      <c r="N61" s="8">
        <v>0</v>
      </c>
      <c r="O61" s="8">
        <v>0</v>
      </c>
      <c r="P61" s="8">
        <v>0</v>
      </c>
    </row>
    <row r="62" spans="1:16" x14ac:dyDescent="0.3">
      <c r="A62" s="11" t="s">
        <v>61</v>
      </c>
      <c r="B62" s="8">
        <v>0</v>
      </c>
      <c r="C62" s="8">
        <v>0</v>
      </c>
      <c r="D62" s="8">
        <v>0</v>
      </c>
      <c r="E62" s="8">
        <v>0</v>
      </c>
      <c r="F62" s="8">
        <v>0</v>
      </c>
      <c r="G62" s="8">
        <v>0</v>
      </c>
      <c r="H62" s="8">
        <v>0</v>
      </c>
      <c r="I62" s="8">
        <v>0</v>
      </c>
      <c r="J62" s="8">
        <v>0</v>
      </c>
      <c r="K62" s="8">
        <v>0</v>
      </c>
      <c r="L62" s="8">
        <v>0</v>
      </c>
      <c r="M62" s="8">
        <v>0</v>
      </c>
      <c r="N62" s="8">
        <v>0</v>
      </c>
      <c r="O62" s="8">
        <v>0</v>
      </c>
      <c r="P62" s="8">
        <v>0</v>
      </c>
    </row>
    <row r="63" spans="1:16" x14ac:dyDescent="0.3">
      <c r="A63" s="11" t="s">
        <v>62</v>
      </c>
      <c r="B63" s="8">
        <v>-90981304</v>
      </c>
      <c r="C63" s="8">
        <v>-60562354</v>
      </c>
      <c r="D63" s="8">
        <v>-59698151</v>
      </c>
      <c r="E63" s="8">
        <v>-56987088</v>
      </c>
      <c r="F63" s="8">
        <v>-2272483</v>
      </c>
      <c r="G63" s="8">
        <v>5873337</v>
      </c>
      <c r="H63" s="8">
        <v>-63690521</v>
      </c>
      <c r="I63" s="8">
        <v>-117577618</v>
      </c>
      <c r="J63" s="8">
        <v>-66406429</v>
      </c>
      <c r="K63" s="8">
        <v>67939533</v>
      </c>
      <c r="L63" s="8">
        <v>-91105808</v>
      </c>
      <c r="M63" s="8">
        <v>79018898</v>
      </c>
      <c r="N63" s="8">
        <v>25710602</v>
      </c>
      <c r="O63" s="8">
        <v>112818339</v>
      </c>
      <c r="P63" s="8">
        <v>265386523</v>
      </c>
    </row>
    <row r="64" spans="1:16" x14ac:dyDescent="0.3">
      <c r="A64" s="9" t="s">
        <v>63</v>
      </c>
      <c r="B64" s="13">
        <v>0</v>
      </c>
      <c r="C64" s="13">
        <v>0</v>
      </c>
      <c r="D64" s="13">
        <v>0</v>
      </c>
      <c r="E64" s="13">
        <v>0</v>
      </c>
      <c r="F64" s="13">
        <v>0</v>
      </c>
      <c r="G64" s="13">
        <v>0</v>
      </c>
      <c r="H64" s="13">
        <v>0</v>
      </c>
      <c r="I64" s="13">
        <v>0</v>
      </c>
      <c r="J64" s="13">
        <v>0</v>
      </c>
      <c r="K64" s="13">
        <v>0</v>
      </c>
      <c r="L64" s="13">
        <v>0</v>
      </c>
      <c r="M64" s="13">
        <v>0</v>
      </c>
      <c r="N64" s="13">
        <v>0</v>
      </c>
      <c r="O64" s="13">
        <v>0</v>
      </c>
      <c r="P64" s="13">
        <v>0</v>
      </c>
    </row>
    <row r="65" spans="1:16" x14ac:dyDescent="0.3">
      <c r="A65" s="2"/>
      <c r="B65" s="4"/>
      <c r="C65" s="4"/>
      <c r="D65" s="4"/>
      <c r="E65" s="4"/>
      <c r="F65" s="4"/>
      <c r="G65" s="4"/>
      <c r="H65" s="4"/>
      <c r="I65" s="4"/>
      <c r="J65" s="4"/>
      <c r="K65" s="4"/>
      <c r="L65" s="4"/>
      <c r="M65" s="4"/>
      <c r="N65" s="4"/>
      <c r="O65" s="4"/>
      <c r="P65" s="4"/>
    </row>
    <row r="66" spans="1:16" x14ac:dyDescent="0.3">
      <c r="A66" s="2" t="s">
        <v>64</v>
      </c>
      <c r="B66" s="4" t="s">
        <v>0</v>
      </c>
      <c r="C66" s="4" t="s">
        <v>0</v>
      </c>
      <c r="D66" s="4" t="s">
        <v>0</v>
      </c>
      <c r="E66" s="4" t="s">
        <v>0</v>
      </c>
      <c r="F66" s="4" t="s">
        <v>0</v>
      </c>
      <c r="G66" s="4" t="s">
        <v>0</v>
      </c>
      <c r="H66" s="4" t="s">
        <v>0</v>
      </c>
      <c r="I66" s="4" t="s">
        <v>0</v>
      </c>
      <c r="J66" s="4" t="s">
        <v>0</v>
      </c>
      <c r="K66" s="4" t="s">
        <v>0</v>
      </c>
      <c r="L66" s="4" t="s">
        <v>0</v>
      </c>
      <c r="M66" s="4" t="s">
        <v>0</v>
      </c>
      <c r="N66" s="4" t="s">
        <v>0</v>
      </c>
      <c r="O66" s="4" t="s">
        <v>0</v>
      </c>
      <c r="P66" s="4" t="s">
        <v>0</v>
      </c>
    </row>
    <row r="67" spans="1:16" x14ac:dyDescent="0.3">
      <c r="A67" s="2" t="s">
        <v>65</v>
      </c>
      <c r="B67" s="4">
        <v>12</v>
      </c>
      <c r="C67" s="4">
        <v>12</v>
      </c>
      <c r="D67" s="4">
        <v>12</v>
      </c>
      <c r="E67" s="4">
        <v>12</v>
      </c>
      <c r="F67" s="4">
        <v>12</v>
      </c>
      <c r="G67" s="4">
        <v>12</v>
      </c>
      <c r="H67" s="4">
        <v>12</v>
      </c>
      <c r="I67" s="4">
        <v>12</v>
      </c>
      <c r="J67" s="4">
        <v>12</v>
      </c>
      <c r="K67" s="4">
        <v>12</v>
      </c>
      <c r="L67" s="4">
        <v>12</v>
      </c>
      <c r="M67" s="4">
        <v>12</v>
      </c>
      <c r="N67" s="4">
        <v>12</v>
      </c>
      <c r="O67" s="4">
        <v>12</v>
      </c>
      <c r="P67" s="4">
        <v>3</v>
      </c>
    </row>
    <row r="68" spans="1:16" x14ac:dyDescent="0.3">
      <c r="A68" s="2"/>
      <c r="B68" s="4"/>
      <c r="C68" s="4"/>
      <c r="D68" s="4"/>
      <c r="E68" s="4"/>
      <c r="F68" s="4"/>
      <c r="G68" s="4"/>
      <c r="H68" s="4"/>
      <c r="I68" s="4"/>
      <c r="J68" s="4"/>
      <c r="K68" s="4"/>
      <c r="L68" s="4"/>
      <c r="M68" s="4"/>
      <c r="N68" s="4"/>
      <c r="O68" s="4"/>
      <c r="P68" s="4"/>
    </row>
    <row r="69" spans="1:16" x14ac:dyDescent="0.3">
      <c r="A69" s="2" t="s">
        <v>66</v>
      </c>
      <c r="B69" s="6">
        <v>1083595141</v>
      </c>
      <c r="C69" s="6">
        <v>1230798252</v>
      </c>
      <c r="D69" s="6">
        <v>1430115702</v>
      </c>
      <c r="E69" s="6">
        <v>1628375505</v>
      </c>
      <c r="F69" s="6">
        <v>1643267385</v>
      </c>
      <c r="G69" s="6">
        <v>1784612663</v>
      </c>
      <c r="H69" s="6">
        <v>1867697070</v>
      </c>
      <c r="I69" s="6">
        <v>1943071198</v>
      </c>
      <c r="J69" s="6">
        <v>1913174282</v>
      </c>
      <c r="K69" s="6">
        <v>1978791988</v>
      </c>
      <c r="L69" s="6">
        <v>2092644232</v>
      </c>
      <c r="M69" s="6">
        <v>2427220678</v>
      </c>
      <c r="N69" s="6">
        <v>2540682904</v>
      </c>
      <c r="O69" s="6">
        <v>2473692310</v>
      </c>
      <c r="P69" s="6">
        <v>649744559</v>
      </c>
    </row>
    <row r="70" spans="1:16" x14ac:dyDescent="0.3">
      <c r="A70" s="2" t="s">
        <v>67</v>
      </c>
      <c r="B70" s="4" t="s">
        <v>1</v>
      </c>
      <c r="C70" s="4" t="s">
        <v>1</v>
      </c>
      <c r="D70" s="4" t="s">
        <v>1</v>
      </c>
      <c r="E70" s="4" t="s">
        <v>1</v>
      </c>
      <c r="F70" s="4" t="s">
        <v>1</v>
      </c>
      <c r="G70" s="4" t="s">
        <v>1</v>
      </c>
      <c r="H70" s="4" t="s">
        <v>1</v>
      </c>
      <c r="I70" s="4" t="s">
        <v>1</v>
      </c>
      <c r="J70" s="4" t="s">
        <v>1</v>
      </c>
      <c r="K70" s="4" t="s">
        <v>1</v>
      </c>
      <c r="L70" s="4" t="s">
        <v>1</v>
      </c>
      <c r="M70" s="4" t="s">
        <v>1</v>
      </c>
      <c r="N70" s="4" t="s">
        <v>1</v>
      </c>
      <c r="O70" s="4" t="s">
        <v>1</v>
      </c>
      <c r="P70" s="4" t="s">
        <v>1</v>
      </c>
    </row>
    <row r="71" spans="1:16" x14ac:dyDescent="0.3">
      <c r="A71" s="2" t="s">
        <v>68</v>
      </c>
      <c r="B71" s="4" t="s">
        <v>1</v>
      </c>
      <c r="C71" s="4" t="s">
        <v>1</v>
      </c>
      <c r="D71" s="4" t="s">
        <v>1</v>
      </c>
      <c r="E71" s="4" t="s">
        <v>1</v>
      </c>
      <c r="F71" s="4" t="s">
        <v>1</v>
      </c>
      <c r="G71" s="4" t="s">
        <v>1</v>
      </c>
      <c r="H71" s="4" t="s">
        <v>1</v>
      </c>
      <c r="I71" s="4" t="s">
        <v>1</v>
      </c>
      <c r="J71" s="4" t="s">
        <v>1</v>
      </c>
      <c r="K71" s="4" t="s">
        <v>1</v>
      </c>
      <c r="L71" s="4" t="s">
        <v>1</v>
      </c>
      <c r="M71" s="4" t="s">
        <v>1</v>
      </c>
      <c r="N71" s="4" t="s">
        <v>1</v>
      </c>
      <c r="O71" s="4" t="s">
        <v>1</v>
      </c>
      <c r="P71" s="4" t="s">
        <v>1</v>
      </c>
    </row>
    <row r="72" spans="1:16" x14ac:dyDescent="0.3">
      <c r="A72" s="2" t="s">
        <v>69</v>
      </c>
      <c r="B72" s="4" t="s">
        <v>1</v>
      </c>
      <c r="C72" s="4" t="s">
        <v>1</v>
      </c>
      <c r="D72" s="4" t="s">
        <v>1</v>
      </c>
      <c r="E72" s="4" t="s">
        <v>1</v>
      </c>
      <c r="F72" s="4" t="s">
        <v>1</v>
      </c>
      <c r="G72" s="4" t="s">
        <v>1</v>
      </c>
      <c r="H72" s="4" t="s">
        <v>1</v>
      </c>
      <c r="I72" s="4" t="s">
        <v>1</v>
      </c>
      <c r="J72" s="4" t="s">
        <v>1</v>
      </c>
      <c r="K72" s="4" t="s">
        <v>1</v>
      </c>
      <c r="L72" s="4" t="s">
        <v>1</v>
      </c>
      <c r="M72" s="4" t="s">
        <v>1</v>
      </c>
      <c r="N72" s="4" t="s">
        <v>1</v>
      </c>
      <c r="O72" s="4" t="s">
        <v>1</v>
      </c>
      <c r="P72" s="4" t="s">
        <v>1</v>
      </c>
    </row>
    <row r="73" spans="1:16" x14ac:dyDescent="0.3">
      <c r="A73" s="2" t="s">
        <v>70</v>
      </c>
      <c r="B73" s="4" t="s">
        <v>1</v>
      </c>
      <c r="C73" s="4" t="s">
        <v>1</v>
      </c>
      <c r="D73" s="4" t="s">
        <v>1</v>
      </c>
      <c r="E73" s="4" t="s">
        <v>1</v>
      </c>
      <c r="F73" s="4" t="s">
        <v>1</v>
      </c>
      <c r="G73" s="4" t="s">
        <v>1</v>
      </c>
      <c r="H73" s="4" t="s">
        <v>1</v>
      </c>
      <c r="I73" s="4" t="s">
        <v>1</v>
      </c>
      <c r="J73" s="4" t="s">
        <v>1</v>
      </c>
      <c r="K73" s="4" t="s">
        <v>1</v>
      </c>
      <c r="L73" s="4" t="s">
        <v>1</v>
      </c>
      <c r="M73" s="4" t="s">
        <v>1</v>
      </c>
      <c r="N73" s="4" t="s">
        <v>1</v>
      </c>
      <c r="O73" s="4" t="s">
        <v>1</v>
      </c>
      <c r="P73" s="4" t="s">
        <v>1</v>
      </c>
    </row>
    <row r="74" spans="1:16" x14ac:dyDescent="0.3">
      <c r="A74" s="2" t="s">
        <v>71</v>
      </c>
      <c r="B74" s="4" t="s">
        <v>1</v>
      </c>
      <c r="C74" s="4" t="s">
        <v>1</v>
      </c>
      <c r="D74" s="4" t="s">
        <v>1</v>
      </c>
      <c r="E74" s="4" t="s">
        <v>1</v>
      </c>
      <c r="F74" s="4" t="s">
        <v>1</v>
      </c>
      <c r="G74" s="4" t="s">
        <v>1</v>
      </c>
      <c r="H74" s="4" t="s">
        <v>1</v>
      </c>
      <c r="I74" s="4" t="s">
        <v>1</v>
      </c>
      <c r="J74" s="4" t="s">
        <v>1</v>
      </c>
      <c r="K74" s="4" t="s">
        <v>1</v>
      </c>
      <c r="L74" s="4" t="s">
        <v>1</v>
      </c>
      <c r="M74" s="4" t="s">
        <v>1</v>
      </c>
      <c r="N74" s="4" t="s">
        <v>1</v>
      </c>
      <c r="O74" s="4" t="s">
        <v>1</v>
      </c>
      <c r="P74" s="4" t="s">
        <v>1</v>
      </c>
    </row>
    <row r="75" spans="1:16" x14ac:dyDescent="0.3">
      <c r="A75" s="2" t="s">
        <v>72</v>
      </c>
      <c r="B75" s="4" t="s">
        <v>1</v>
      </c>
      <c r="C75" s="4" t="s">
        <v>1</v>
      </c>
      <c r="D75" s="4" t="s">
        <v>1</v>
      </c>
      <c r="E75" s="4" t="s">
        <v>1</v>
      </c>
      <c r="F75" s="4" t="s">
        <v>1</v>
      </c>
      <c r="G75" s="4" t="s">
        <v>1</v>
      </c>
      <c r="H75" s="4" t="s">
        <v>1</v>
      </c>
      <c r="I75" s="4" t="s">
        <v>1</v>
      </c>
      <c r="J75" s="4" t="s">
        <v>1</v>
      </c>
      <c r="K75" s="4" t="s">
        <v>1</v>
      </c>
      <c r="L75" s="4" t="s">
        <v>1</v>
      </c>
      <c r="M75" s="4" t="s">
        <v>1</v>
      </c>
      <c r="N75" s="4" t="s">
        <v>1</v>
      </c>
      <c r="O75" s="4" t="s">
        <v>1</v>
      </c>
      <c r="P75" s="4" t="s">
        <v>1</v>
      </c>
    </row>
    <row r="76" spans="1:16" x14ac:dyDescent="0.3">
      <c r="A76" s="2" t="s">
        <v>73</v>
      </c>
      <c r="B76" s="6">
        <v>-1493117</v>
      </c>
      <c r="C76" s="6">
        <v>-1456948</v>
      </c>
      <c r="D76" s="6">
        <v>-122644</v>
      </c>
      <c r="E76" s="6">
        <v>2433477</v>
      </c>
      <c r="F76" s="6">
        <v>5981586</v>
      </c>
      <c r="G76" s="6">
        <v>-33432</v>
      </c>
      <c r="H76" s="6">
        <v>390536</v>
      </c>
      <c r="I76" s="6">
        <v>124569</v>
      </c>
      <c r="J76" s="6">
        <v>-89000</v>
      </c>
      <c r="K76" s="6">
        <v>207275453</v>
      </c>
      <c r="L76" s="6">
        <v>41585368</v>
      </c>
      <c r="M76" s="6">
        <v>20809511</v>
      </c>
      <c r="N76" s="6">
        <v>544963983</v>
      </c>
      <c r="O76" s="6">
        <v>51324376</v>
      </c>
      <c r="P76" s="6">
        <v>-116948</v>
      </c>
    </row>
    <row r="77" spans="1:16" x14ac:dyDescent="0.3">
      <c r="A77" s="2" t="s">
        <v>74</v>
      </c>
      <c r="B77" s="6">
        <v>208540723</v>
      </c>
      <c r="C77" s="6">
        <v>238227340</v>
      </c>
      <c r="D77" s="6">
        <v>221580037</v>
      </c>
      <c r="E77" s="6">
        <v>218036930</v>
      </c>
      <c r="F77" s="6">
        <v>126769297</v>
      </c>
      <c r="G77" s="6">
        <v>80843799</v>
      </c>
      <c r="H77" s="6">
        <v>114395321</v>
      </c>
      <c r="I77" s="6">
        <v>117385336</v>
      </c>
      <c r="J77" s="6">
        <v>90913071</v>
      </c>
      <c r="K77" s="6">
        <v>343916569</v>
      </c>
      <c r="L77" s="6">
        <v>212469036</v>
      </c>
      <c r="M77" s="6">
        <v>294374685</v>
      </c>
      <c r="N77" s="6">
        <v>757608676</v>
      </c>
      <c r="O77" s="6">
        <v>249569340</v>
      </c>
      <c r="P77" s="6">
        <v>51836701</v>
      </c>
    </row>
    <row r="78" spans="1:16" x14ac:dyDescent="0.3">
      <c r="A78" s="2" t="s">
        <v>75</v>
      </c>
      <c r="B78" s="6">
        <v>0</v>
      </c>
      <c r="C78" s="6">
        <v>0</v>
      </c>
      <c r="D78" s="6">
        <v>0</v>
      </c>
      <c r="E78" s="6">
        <v>0</v>
      </c>
      <c r="F78" s="6">
        <v>0</v>
      </c>
      <c r="G78" s="6">
        <v>0</v>
      </c>
      <c r="H78" s="6">
        <v>0</v>
      </c>
      <c r="I78" s="6">
        <v>0</v>
      </c>
      <c r="J78" s="6">
        <v>0</v>
      </c>
      <c r="K78" s="6">
        <v>0</v>
      </c>
      <c r="L78" s="6">
        <v>0</v>
      </c>
      <c r="M78" s="6">
        <v>0</v>
      </c>
      <c r="N78" s="6">
        <v>0</v>
      </c>
      <c r="O78" s="6">
        <v>0</v>
      </c>
      <c r="P78" s="6">
        <v>0</v>
      </c>
    </row>
    <row r="79" spans="1:16" x14ac:dyDescent="0.3">
      <c r="A79" s="2" t="s">
        <v>76</v>
      </c>
      <c r="B79" s="6">
        <v>970282</v>
      </c>
      <c r="C79" s="6">
        <v>3059293</v>
      </c>
      <c r="D79" s="6">
        <v>2823225</v>
      </c>
      <c r="E79" s="6">
        <v>1946886</v>
      </c>
      <c r="F79" s="6">
        <v>10818705</v>
      </c>
      <c r="G79" s="6">
        <v>12183865</v>
      </c>
      <c r="H79" s="6">
        <v>5952920</v>
      </c>
      <c r="I79" s="6">
        <v>5225532</v>
      </c>
      <c r="J79" s="6">
        <v>1889772</v>
      </c>
      <c r="K79" s="6">
        <v>8746947</v>
      </c>
      <c r="L79" s="6">
        <v>10894534</v>
      </c>
      <c r="M79" s="6">
        <v>4919952</v>
      </c>
      <c r="N79" s="6">
        <v>26563887</v>
      </c>
      <c r="O79" s="6">
        <v>26535094</v>
      </c>
      <c r="P79" s="6">
        <v>11361421</v>
      </c>
    </row>
    <row r="80" spans="1:16" x14ac:dyDescent="0.3">
      <c r="A80" s="2" t="s">
        <v>77</v>
      </c>
      <c r="B80" s="6">
        <v>9900811</v>
      </c>
      <c r="C80" s="6">
        <v>10315663</v>
      </c>
      <c r="D80" s="6">
        <v>13700677</v>
      </c>
      <c r="E80" s="6">
        <v>20838218</v>
      </c>
      <c r="F80" s="6">
        <v>55252785</v>
      </c>
      <c r="G80" s="6">
        <v>70978326</v>
      </c>
      <c r="H80" s="6">
        <v>82221963</v>
      </c>
      <c r="I80" s="6">
        <v>80035968</v>
      </c>
      <c r="J80" s="6">
        <v>77711185</v>
      </c>
      <c r="K80" s="6">
        <v>97558997</v>
      </c>
      <c r="L80" s="6">
        <v>102535938</v>
      </c>
      <c r="M80" s="6">
        <v>113951133</v>
      </c>
      <c r="N80" s="6">
        <v>113696383</v>
      </c>
      <c r="O80" s="6">
        <v>113270200</v>
      </c>
      <c r="P80" s="6">
        <v>27500891</v>
      </c>
    </row>
    <row r="81" spans="1:16" x14ac:dyDescent="0.3">
      <c r="A81" s="2" t="s">
        <v>78</v>
      </c>
      <c r="B81" s="4" t="s">
        <v>1</v>
      </c>
      <c r="C81" s="6">
        <v>0</v>
      </c>
      <c r="D81" s="6">
        <v>0</v>
      </c>
      <c r="E81" s="6">
        <v>0</v>
      </c>
      <c r="F81" s="6">
        <v>0</v>
      </c>
      <c r="G81" s="6">
        <v>0</v>
      </c>
      <c r="H81" s="6">
        <v>0</v>
      </c>
      <c r="I81" s="6">
        <v>0</v>
      </c>
      <c r="J81" s="6">
        <v>0</v>
      </c>
      <c r="K81" s="6">
        <v>0</v>
      </c>
      <c r="L81" s="6">
        <v>0</v>
      </c>
      <c r="M81" s="6">
        <v>0</v>
      </c>
      <c r="N81" s="6">
        <v>0</v>
      </c>
      <c r="O81" s="6">
        <v>0</v>
      </c>
      <c r="P81" s="6">
        <v>0</v>
      </c>
    </row>
    <row r="82" spans="1:16" x14ac:dyDescent="0.3">
      <c r="A82" s="2" t="s">
        <v>79</v>
      </c>
      <c r="B82" s="6">
        <v>0</v>
      </c>
      <c r="C82" s="6">
        <v>0</v>
      </c>
      <c r="D82" s="6">
        <v>0</v>
      </c>
      <c r="E82" s="6">
        <v>0</v>
      </c>
      <c r="F82" s="6">
        <v>0</v>
      </c>
      <c r="G82" s="6">
        <v>0</v>
      </c>
      <c r="H82" s="6">
        <v>0</v>
      </c>
      <c r="I82" s="6">
        <v>0</v>
      </c>
      <c r="J82" s="6">
        <v>0</v>
      </c>
      <c r="K82" s="6">
        <v>0</v>
      </c>
      <c r="L82" s="6">
        <v>0</v>
      </c>
      <c r="M82" s="6">
        <v>0</v>
      </c>
      <c r="N82" s="6">
        <v>0</v>
      </c>
      <c r="O82" s="6">
        <v>0</v>
      </c>
      <c r="P82" s="6">
        <v>0</v>
      </c>
    </row>
    <row r="83" spans="1:16" x14ac:dyDescent="0.3">
      <c r="A83" s="2" t="s">
        <v>80</v>
      </c>
      <c r="B83" s="6">
        <v>1296277</v>
      </c>
      <c r="C83" s="6">
        <v>-6349377</v>
      </c>
      <c r="D83" s="6">
        <v>-8795595</v>
      </c>
      <c r="E83" s="6">
        <v>-21078202</v>
      </c>
      <c r="F83" s="6">
        <v>-11243068</v>
      </c>
      <c r="G83" s="6">
        <v>-12945839</v>
      </c>
      <c r="H83" s="6">
        <v>-16051379</v>
      </c>
      <c r="I83" s="6">
        <v>-6973571</v>
      </c>
      <c r="J83" s="6">
        <v>-994222</v>
      </c>
      <c r="K83" s="6">
        <v>4551310</v>
      </c>
      <c r="L83" s="6">
        <v>-115094</v>
      </c>
      <c r="M83" s="6">
        <v>250185</v>
      </c>
      <c r="N83" s="6">
        <v>-350491</v>
      </c>
      <c r="O83" s="6">
        <v>-3187775</v>
      </c>
      <c r="P83" s="6">
        <v>-1343755</v>
      </c>
    </row>
    <row r="84" spans="1:16" x14ac:dyDescent="0.3">
      <c r="A84" s="2" t="s">
        <v>81</v>
      </c>
      <c r="B84" s="6">
        <v>-3337075</v>
      </c>
      <c r="C84" s="6">
        <v>-5295078</v>
      </c>
      <c r="D84" s="6">
        <v>-3270641</v>
      </c>
      <c r="E84" s="6">
        <v>-1150441</v>
      </c>
      <c r="F84" s="6">
        <v>-22635632</v>
      </c>
      <c r="G84" s="6">
        <v>-22985872</v>
      </c>
      <c r="H84" s="6">
        <v>-15934835</v>
      </c>
      <c r="I84" s="6">
        <v>-9600405</v>
      </c>
      <c r="J84" s="6">
        <v>-16368412</v>
      </c>
      <c r="K84" s="6">
        <v>-19445992</v>
      </c>
      <c r="L84" s="6">
        <v>-26758482</v>
      </c>
      <c r="M84" s="6">
        <v>-66963329</v>
      </c>
      <c r="N84" s="6">
        <v>-130374245</v>
      </c>
      <c r="O84" s="6">
        <v>-39051828</v>
      </c>
      <c r="P84" s="6">
        <v>-5147068</v>
      </c>
    </row>
    <row r="85" spans="1:16" x14ac:dyDescent="0.3">
      <c r="A85" s="2" t="s">
        <v>82</v>
      </c>
      <c r="B85" s="6">
        <v>0</v>
      </c>
      <c r="C85" s="6">
        <v>0</v>
      </c>
      <c r="D85" s="6">
        <v>0</v>
      </c>
      <c r="E85" s="6">
        <v>0</v>
      </c>
      <c r="F85" s="6">
        <v>0</v>
      </c>
      <c r="G85" s="6">
        <v>0</v>
      </c>
      <c r="H85" s="6">
        <v>0</v>
      </c>
      <c r="I85" s="6">
        <v>0</v>
      </c>
      <c r="J85" s="6">
        <v>0</v>
      </c>
      <c r="K85" s="6">
        <v>0</v>
      </c>
      <c r="L85" s="6">
        <v>0</v>
      </c>
      <c r="M85" s="6">
        <v>0</v>
      </c>
      <c r="N85" s="6">
        <v>0</v>
      </c>
      <c r="O85" s="6">
        <v>0</v>
      </c>
      <c r="P85" s="6">
        <v>0</v>
      </c>
    </row>
    <row r="86" spans="1:16" x14ac:dyDescent="0.3">
      <c r="A86" s="2" t="s">
        <v>83</v>
      </c>
      <c r="B86" s="4" t="s">
        <v>1</v>
      </c>
      <c r="C86" s="6">
        <v>0</v>
      </c>
      <c r="D86" s="6">
        <v>0</v>
      </c>
      <c r="E86" s="6">
        <v>0</v>
      </c>
      <c r="F86" s="6">
        <v>0</v>
      </c>
      <c r="G86" s="6">
        <v>0</v>
      </c>
      <c r="H86" s="6">
        <v>0</v>
      </c>
      <c r="I86" s="6">
        <v>0</v>
      </c>
      <c r="J86" s="6">
        <v>0</v>
      </c>
      <c r="K86" s="6">
        <v>0</v>
      </c>
      <c r="L86" s="6">
        <v>0</v>
      </c>
      <c r="M86" s="6">
        <v>0</v>
      </c>
      <c r="N86" s="6">
        <v>0</v>
      </c>
      <c r="O86" s="6">
        <v>0</v>
      </c>
      <c r="P86" s="6">
        <v>0</v>
      </c>
    </row>
    <row r="87" spans="1:16" x14ac:dyDescent="0.3">
      <c r="A87" s="2" t="s">
        <v>84</v>
      </c>
      <c r="B87" s="4" t="s">
        <v>1</v>
      </c>
      <c r="C87" s="6">
        <v>0</v>
      </c>
      <c r="D87" s="6">
        <v>0</v>
      </c>
      <c r="E87" s="6">
        <v>0</v>
      </c>
      <c r="F87" s="6">
        <v>0</v>
      </c>
      <c r="G87" s="6">
        <v>0</v>
      </c>
      <c r="H87" s="6">
        <v>0</v>
      </c>
      <c r="I87" s="6">
        <v>0</v>
      </c>
      <c r="J87" s="6">
        <v>0</v>
      </c>
      <c r="K87" s="6">
        <v>0</v>
      </c>
      <c r="L87" s="6">
        <v>0</v>
      </c>
      <c r="M87" s="6">
        <v>0</v>
      </c>
      <c r="N87" s="6">
        <v>0</v>
      </c>
      <c r="O87" s="6">
        <v>0</v>
      </c>
      <c r="P87" s="6">
        <v>0</v>
      </c>
    </row>
    <row r="88" spans="1:16" x14ac:dyDescent="0.3">
      <c r="A88" s="2" t="s">
        <v>85</v>
      </c>
      <c r="B88" s="6">
        <v>197569396</v>
      </c>
      <c r="C88" s="6">
        <v>219326515</v>
      </c>
      <c r="D88" s="6">
        <v>198636349</v>
      </c>
      <c r="E88" s="6">
        <v>176916955</v>
      </c>
      <c r="F88" s="6">
        <v>48456517</v>
      </c>
      <c r="G88" s="6">
        <v>-13882373</v>
      </c>
      <c r="H88" s="6">
        <v>6140064</v>
      </c>
      <c r="I88" s="6">
        <v>26000924</v>
      </c>
      <c r="J88" s="6">
        <v>-2270976</v>
      </c>
      <c r="K88" s="6">
        <v>240209837</v>
      </c>
      <c r="L88" s="6">
        <v>93954056</v>
      </c>
      <c r="M88" s="6">
        <v>118630360</v>
      </c>
      <c r="N88" s="6">
        <v>539751444</v>
      </c>
      <c r="O88" s="6">
        <v>120594631</v>
      </c>
      <c r="P88" s="6">
        <v>29206408</v>
      </c>
    </row>
    <row r="89" spans="1:16" x14ac:dyDescent="0.3">
      <c r="A89" s="2" t="s">
        <v>86</v>
      </c>
      <c r="B89" s="6">
        <v>24598187</v>
      </c>
      <c r="C89" s="6">
        <v>38559856</v>
      </c>
      <c r="D89" s="6">
        <v>31342233</v>
      </c>
      <c r="E89" s="6">
        <v>29951701</v>
      </c>
      <c r="F89" s="6">
        <v>-8013985</v>
      </c>
      <c r="G89" s="6">
        <v>-12780376</v>
      </c>
      <c r="H89" s="6">
        <v>-28018036</v>
      </c>
      <c r="I89" s="6">
        <v>-17408617</v>
      </c>
      <c r="J89" s="6">
        <v>21343116</v>
      </c>
      <c r="K89" s="6">
        <v>86057731</v>
      </c>
      <c r="L89" s="6">
        <v>9487808</v>
      </c>
      <c r="M89" s="6">
        <v>43655049</v>
      </c>
      <c r="N89" s="6">
        <v>82964112</v>
      </c>
      <c r="O89" s="6">
        <v>31710265</v>
      </c>
      <c r="P89" s="6">
        <v>49637925</v>
      </c>
    </row>
    <row r="90" spans="1:16" x14ac:dyDescent="0.3">
      <c r="A90" s="2" t="s">
        <v>87</v>
      </c>
      <c r="B90" s="6">
        <v>172971209</v>
      </c>
      <c r="C90" s="6">
        <v>180766659</v>
      </c>
      <c r="D90" s="6">
        <v>167294116</v>
      </c>
      <c r="E90" s="6">
        <v>146965254</v>
      </c>
      <c r="F90" s="6">
        <v>56470502</v>
      </c>
      <c r="G90" s="6">
        <v>-1101997</v>
      </c>
      <c r="H90" s="6">
        <v>34158100</v>
      </c>
      <c r="I90" s="6">
        <v>43409541</v>
      </c>
      <c r="J90" s="6">
        <v>-23614092</v>
      </c>
      <c r="K90" s="6">
        <v>154152106</v>
      </c>
      <c r="L90" s="6">
        <v>84466248</v>
      </c>
      <c r="M90" s="6">
        <v>74975311</v>
      </c>
      <c r="N90" s="6">
        <v>456787332</v>
      </c>
      <c r="O90" s="6">
        <v>88884366</v>
      </c>
      <c r="P90" s="6">
        <v>-20431517</v>
      </c>
    </row>
    <row r="91" spans="1:16" x14ac:dyDescent="0.3">
      <c r="A91" s="2" t="s">
        <v>88</v>
      </c>
      <c r="B91" s="6">
        <v>0</v>
      </c>
      <c r="C91" s="6">
        <v>0</v>
      </c>
      <c r="D91" s="6">
        <v>0</v>
      </c>
      <c r="E91" s="6">
        <v>0</v>
      </c>
      <c r="F91" s="6">
        <v>0</v>
      </c>
      <c r="G91" s="6">
        <v>0</v>
      </c>
      <c r="H91" s="6">
        <v>0</v>
      </c>
      <c r="I91" s="6">
        <v>0</v>
      </c>
      <c r="J91" s="6">
        <v>0</v>
      </c>
      <c r="K91" s="6">
        <v>0</v>
      </c>
      <c r="L91" s="6">
        <v>0</v>
      </c>
      <c r="M91" s="6">
        <v>0</v>
      </c>
      <c r="N91" s="6">
        <v>0</v>
      </c>
      <c r="O91" s="6">
        <v>0</v>
      </c>
      <c r="P91" s="6">
        <v>0</v>
      </c>
    </row>
    <row r="92" spans="1:16" x14ac:dyDescent="0.3">
      <c r="A92" s="2" t="s">
        <v>89</v>
      </c>
      <c r="B92" s="6">
        <v>0</v>
      </c>
      <c r="C92" s="6">
        <v>0</v>
      </c>
      <c r="D92" s="6">
        <v>0</v>
      </c>
      <c r="E92" s="6">
        <v>0</v>
      </c>
      <c r="F92" s="6">
        <v>0</v>
      </c>
      <c r="G92" s="6">
        <v>0</v>
      </c>
      <c r="H92" s="6">
        <v>0</v>
      </c>
      <c r="I92" s="6">
        <v>0</v>
      </c>
      <c r="J92" s="6">
        <v>0</v>
      </c>
      <c r="K92" s="6">
        <v>0</v>
      </c>
      <c r="L92" s="6">
        <v>0</v>
      </c>
      <c r="M92" s="6">
        <v>0</v>
      </c>
      <c r="N92" s="6">
        <v>0</v>
      </c>
      <c r="O92" s="6">
        <v>0</v>
      </c>
      <c r="P92" s="6">
        <v>0</v>
      </c>
    </row>
    <row r="93" spans="1:16" x14ac:dyDescent="0.3">
      <c r="A93" s="2" t="s">
        <v>90</v>
      </c>
      <c r="B93" s="6">
        <v>172971209</v>
      </c>
      <c r="C93" s="6">
        <v>180766659</v>
      </c>
      <c r="D93" s="6">
        <v>167294116</v>
      </c>
      <c r="E93" s="6">
        <v>146965254</v>
      </c>
      <c r="F93" s="6">
        <v>56470502</v>
      </c>
      <c r="G93" s="6">
        <v>-1101997</v>
      </c>
      <c r="H93" s="6">
        <v>34158100</v>
      </c>
      <c r="I93" s="6">
        <v>43409541</v>
      </c>
      <c r="J93" s="6">
        <v>-23614092</v>
      </c>
      <c r="K93" s="6">
        <v>154152106</v>
      </c>
      <c r="L93" s="6">
        <v>84466248</v>
      </c>
      <c r="M93" s="6">
        <v>74975311</v>
      </c>
      <c r="N93" s="6">
        <v>456787332</v>
      </c>
      <c r="O93" s="6">
        <v>88884366</v>
      </c>
      <c r="P93" s="6">
        <v>-20431517</v>
      </c>
    </row>
    <row r="94" spans="1:16" x14ac:dyDescent="0.3">
      <c r="A94" s="2" t="s">
        <v>91</v>
      </c>
      <c r="B94" s="6">
        <v>0</v>
      </c>
      <c r="C94" s="6">
        <v>0</v>
      </c>
      <c r="D94" s="6">
        <v>0</v>
      </c>
      <c r="E94" s="6">
        <v>0</v>
      </c>
      <c r="F94" s="6">
        <v>0</v>
      </c>
      <c r="G94" s="6">
        <v>0</v>
      </c>
      <c r="H94" s="6">
        <v>0</v>
      </c>
      <c r="I94" s="6">
        <v>0</v>
      </c>
      <c r="J94" s="6">
        <v>0</v>
      </c>
      <c r="K94" s="6">
        <v>0</v>
      </c>
      <c r="L94" s="6">
        <v>0</v>
      </c>
      <c r="M94" s="6">
        <v>0</v>
      </c>
      <c r="N94" s="6">
        <v>0</v>
      </c>
      <c r="O94" s="6">
        <v>0</v>
      </c>
      <c r="P94" s="6">
        <v>0</v>
      </c>
    </row>
    <row r="95" spans="1:16" x14ac:dyDescent="0.3">
      <c r="A95" s="2" t="s">
        <v>92</v>
      </c>
      <c r="B95" s="6">
        <v>172971209</v>
      </c>
      <c r="C95" s="6">
        <v>180766659</v>
      </c>
      <c r="D95" s="6">
        <v>167294116</v>
      </c>
      <c r="E95" s="6">
        <v>146965254</v>
      </c>
      <c r="F95" s="6">
        <v>56470502</v>
      </c>
      <c r="G95" s="6">
        <v>-1101997</v>
      </c>
      <c r="H95" s="6">
        <v>34158100</v>
      </c>
      <c r="I95" s="6">
        <v>43409541</v>
      </c>
      <c r="J95" s="6">
        <v>-23614092</v>
      </c>
      <c r="K95" s="6">
        <v>154152106</v>
      </c>
      <c r="L95" s="6">
        <v>84466248</v>
      </c>
      <c r="M95" s="6">
        <v>74975311</v>
      </c>
      <c r="N95" s="6">
        <v>456787332</v>
      </c>
      <c r="O95" s="6">
        <v>88884366</v>
      </c>
      <c r="P95" s="6">
        <v>-20431517</v>
      </c>
    </row>
    <row r="96" spans="1:16" x14ac:dyDescent="0.3">
      <c r="A96" s="2"/>
      <c r="B96" s="4"/>
      <c r="C96" s="4"/>
      <c r="D96" s="4"/>
      <c r="E96" s="4"/>
      <c r="F96" s="4"/>
      <c r="G96" s="4"/>
      <c r="H96" s="4"/>
      <c r="I96" s="4"/>
      <c r="J96" s="4"/>
      <c r="K96" s="4"/>
      <c r="L96" s="4"/>
      <c r="M96" s="4"/>
      <c r="N96" s="4"/>
      <c r="O96" s="4"/>
      <c r="P96" s="4"/>
    </row>
    <row r="97" spans="1:16" x14ac:dyDescent="0.3">
      <c r="A97" s="2" t="s">
        <v>64</v>
      </c>
      <c r="B97" s="4" t="s">
        <v>0</v>
      </c>
      <c r="C97" s="4" t="s">
        <v>0</v>
      </c>
      <c r="D97" s="4" t="s">
        <v>0</v>
      </c>
      <c r="E97" s="4" t="s">
        <v>0</v>
      </c>
      <c r="F97" s="4" t="s">
        <v>0</v>
      </c>
      <c r="G97" s="4" t="s">
        <v>0</v>
      </c>
      <c r="H97" s="4" t="s">
        <v>0</v>
      </c>
      <c r="I97" s="4" t="s">
        <v>0</v>
      </c>
      <c r="J97" s="4" t="s">
        <v>0</v>
      </c>
      <c r="K97" s="4" t="s">
        <v>0</v>
      </c>
      <c r="L97" s="4" t="s">
        <v>0</v>
      </c>
      <c r="M97" s="4" t="s">
        <v>0</v>
      </c>
      <c r="N97" s="4" t="s">
        <v>0</v>
      </c>
      <c r="O97" s="4" t="s">
        <v>0</v>
      </c>
      <c r="P97" s="4" t="s">
        <v>0</v>
      </c>
    </row>
    <row r="98" spans="1:16" x14ac:dyDescent="0.3">
      <c r="A98" s="2" t="s">
        <v>65</v>
      </c>
      <c r="B98" s="4">
        <v>12</v>
      </c>
      <c r="C98" s="4">
        <v>12</v>
      </c>
      <c r="D98" s="4">
        <v>12</v>
      </c>
      <c r="E98" s="4">
        <v>12</v>
      </c>
      <c r="F98" s="4">
        <v>12</v>
      </c>
      <c r="G98" s="4">
        <v>12</v>
      </c>
      <c r="H98" s="4">
        <v>12</v>
      </c>
      <c r="I98" s="4">
        <v>12</v>
      </c>
      <c r="J98" s="4">
        <v>12</v>
      </c>
      <c r="K98" s="4">
        <v>12</v>
      </c>
      <c r="L98" s="4">
        <v>12</v>
      </c>
      <c r="M98" s="4">
        <v>12</v>
      </c>
      <c r="N98" s="4">
        <v>12</v>
      </c>
      <c r="O98" s="4">
        <v>12</v>
      </c>
      <c r="P98" s="4">
        <v>3</v>
      </c>
    </row>
    <row r="99" spans="1:16" x14ac:dyDescent="0.3">
      <c r="A99" s="2"/>
      <c r="B99" s="4"/>
      <c r="C99" s="4"/>
      <c r="D99" s="4"/>
      <c r="E99" s="4"/>
      <c r="F99" s="4"/>
      <c r="G99" s="4"/>
      <c r="H99" s="4"/>
      <c r="I99" s="4"/>
      <c r="J99" s="4"/>
      <c r="K99" s="4"/>
      <c r="L99" s="4"/>
      <c r="M99" s="4"/>
      <c r="N99" s="4"/>
      <c r="O99" s="4"/>
      <c r="P99" s="4"/>
    </row>
    <row r="100" spans="1:16" x14ac:dyDescent="0.3">
      <c r="A100" s="2" t="s">
        <v>66</v>
      </c>
      <c r="B100" s="6">
        <v>1083595141</v>
      </c>
      <c r="C100" s="6">
        <v>1230798252</v>
      </c>
      <c r="D100" s="6">
        <v>1430115702</v>
      </c>
      <c r="E100" s="6">
        <v>1628375505</v>
      </c>
      <c r="F100" s="6">
        <v>1643267385</v>
      </c>
      <c r="G100" s="6">
        <v>1784612663</v>
      </c>
      <c r="H100" s="6">
        <v>1867697070</v>
      </c>
      <c r="I100" s="6">
        <v>1943071198</v>
      </c>
      <c r="J100" s="6">
        <v>1913174282</v>
      </c>
      <c r="K100" s="6">
        <v>1978791988</v>
      </c>
      <c r="L100" s="6">
        <v>2092644232</v>
      </c>
      <c r="M100" s="6">
        <v>2427220678</v>
      </c>
      <c r="N100" s="6">
        <v>2540682904</v>
      </c>
      <c r="O100" s="6">
        <v>2473692310</v>
      </c>
      <c r="P100" s="6">
        <v>649744559</v>
      </c>
    </row>
    <row r="101" spans="1:16" x14ac:dyDescent="0.3">
      <c r="A101" s="2" t="s">
        <v>69</v>
      </c>
      <c r="B101" s="6">
        <v>4714165</v>
      </c>
      <c r="C101" s="6">
        <v>11572942</v>
      </c>
      <c r="D101" s="6">
        <v>10985282</v>
      </c>
      <c r="E101" s="6">
        <v>13120675</v>
      </c>
      <c r="F101" s="6">
        <v>18802748</v>
      </c>
      <c r="G101" s="6">
        <v>8284735</v>
      </c>
      <c r="H101" s="6">
        <v>19214192</v>
      </c>
      <c r="I101" s="6">
        <v>11974824</v>
      </c>
      <c r="J101" s="6">
        <v>9874347</v>
      </c>
      <c r="K101" s="6">
        <v>11475402</v>
      </c>
      <c r="L101" s="6">
        <v>13254828</v>
      </c>
      <c r="M101" s="6">
        <v>12089212</v>
      </c>
      <c r="N101" s="6">
        <v>52062685</v>
      </c>
      <c r="O101" s="6">
        <v>48125237</v>
      </c>
      <c r="P101" s="6">
        <v>15015756</v>
      </c>
    </row>
    <row r="102" spans="1:16" x14ac:dyDescent="0.3">
      <c r="A102" s="2" t="s">
        <v>93</v>
      </c>
      <c r="B102" s="6">
        <v>0</v>
      </c>
      <c r="C102" s="6">
        <v>0</v>
      </c>
      <c r="D102" s="6">
        <v>0</v>
      </c>
      <c r="E102" s="6">
        <v>0</v>
      </c>
      <c r="F102" s="6">
        <v>0</v>
      </c>
      <c r="G102" s="6">
        <v>0</v>
      </c>
      <c r="H102" s="6">
        <v>0</v>
      </c>
      <c r="I102" s="6">
        <v>0</v>
      </c>
      <c r="J102" s="6">
        <v>0</v>
      </c>
      <c r="K102" s="6">
        <v>0</v>
      </c>
      <c r="L102" s="6">
        <v>0</v>
      </c>
      <c r="M102" s="6">
        <v>0</v>
      </c>
      <c r="N102" s="6">
        <v>0</v>
      </c>
      <c r="O102" s="6">
        <v>0</v>
      </c>
      <c r="P102" s="4" t="s">
        <v>1</v>
      </c>
    </row>
    <row r="103" spans="1:16" x14ac:dyDescent="0.3">
      <c r="A103" s="2" t="s">
        <v>94</v>
      </c>
      <c r="B103" s="6">
        <v>0</v>
      </c>
      <c r="C103" s="6">
        <v>0</v>
      </c>
      <c r="D103" s="6">
        <v>0</v>
      </c>
      <c r="E103" s="6">
        <v>0</v>
      </c>
      <c r="F103" s="6">
        <v>0</v>
      </c>
      <c r="G103" s="6">
        <v>0</v>
      </c>
      <c r="H103" s="6">
        <v>0</v>
      </c>
      <c r="I103" s="6">
        <v>0</v>
      </c>
      <c r="J103" s="6">
        <v>0</v>
      </c>
      <c r="K103" s="6">
        <v>0</v>
      </c>
      <c r="L103" s="6">
        <v>0</v>
      </c>
      <c r="M103" s="6">
        <v>0</v>
      </c>
      <c r="N103" s="6">
        <v>0</v>
      </c>
      <c r="O103" s="6">
        <v>0</v>
      </c>
      <c r="P103" s="4" t="s">
        <v>1</v>
      </c>
    </row>
    <row r="104" spans="1:16" x14ac:dyDescent="0.3">
      <c r="A104" s="2" t="s">
        <v>95</v>
      </c>
      <c r="B104" s="6">
        <v>0</v>
      </c>
      <c r="C104" s="6">
        <v>0</v>
      </c>
      <c r="D104" s="6">
        <v>0</v>
      </c>
      <c r="E104" s="6">
        <v>0</v>
      </c>
      <c r="F104" s="6">
        <v>0</v>
      </c>
      <c r="G104" s="6">
        <v>0</v>
      </c>
      <c r="H104" s="6">
        <v>0</v>
      </c>
      <c r="I104" s="6">
        <v>0</v>
      </c>
      <c r="J104" s="6">
        <v>0</v>
      </c>
      <c r="K104" s="6">
        <v>0</v>
      </c>
      <c r="L104" s="6">
        <v>0</v>
      </c>
      <c r="M104" s="6">
        <v>0</v>
      </c>
      <c r="N104" s="6">
        <v>0</v>
      </c>
      <c r="O104" s="6">
        <v>0</v>
      </c>
      <c r="P104" s="4" t="s">
        <v>1</v>
      </c>
    </row>
    <row r="105" spans="1:16" x14ac:dyDescent="0.3">
      <c r="A105" s="2" t="s">
        <v>96</v>
      </c>
      <c r="B105" s="6">
        <v>112125960</v>
      </c>
      <c r="C105" s="6">
        <v>125278220</v>
      </c>
      <c r="D105" s="6">
        <v>141753518</v>
      </c>
      <c r="E105" s="6">
        <v>172318252</v>
      </c>
      <c r="F105" s="6">
        <v>222224875</v>
      </c>
      <c r="G105" s="6">
        <v>247005733</v>
      </c>
      <c r="H105" s="6">
        <v>245606059</v>
      </c>
      <c r="I105" s="6">
        <v>249163558</v>
      </c>
      <c r="J105" s="6">
        <v>260153627</v>
      </c>
      <c r="K105" s="6">
        <v>260168138</v>
      </c>
      <c r="L105" s="6">
        <v>256582135</v>
      </c>
      <c r="M105" s="6">
        <v>257334487</v>
      </c>
      <c r="N105" s="6">
        <v>296125852</v>
      </c>
      <c r="O105" s="6">
        <v>301943147</v>
      </c>
      <c r="P105" s="6">
        <v>77056052</v>
      </c>
    </row>
    <row r="106" spans="1:16" x14ac:dyDescent="0.3">
      <c r="A106" s="2" t="s">
        <v>97</v>
      </c>
      <c r="B106" s="6">
        <v>233199472</v>
      </c>
      <c r="C106" s="6">
        <v>269798674</v>
      </c>
      <c r="D106" s="6">
        <v>310069999</v>
      </c>
      <c r="E106" s="6">
        <v>245165943</v>
      </c>
      <c r="F106" s="6">
        <v>239635274</v>
      </c>
      <c r="G106" s="6">
        <v>273625473</v>
      </c>
      <c r="H106" s="6">
        <v>299584314</v>
      </c>
      <c r="I106" s="6">
        <v>315867652</v>
      </c>
      <c r="J106" s="6">
        <v>331565828</v>
      </c>
      <c r="K106" s="6">
        <v>422651518</v>
      </c>
      <c r="L106" s="6">
        <v>467435702</v>
      </c>
      <c r="M106" s="6">
        <v>466882184</v>
      </c>
      <c r="N106" s="6">
        <v>518018762</v>
      </c>
      <c r="O106" s="6">
        <v>504142392</v>
      </c>
      <c r="P106" s="6">
        <v>132760018</v>
      </c>
    </row>
    <row r="107" spans="1:16" x14ac:dyDescent="0.3">
      <c r="A107" s="2" t="s">
        <v>98</v>
      </c>
      <c r="B107" s="6">
        <v>-29542543</v>
      </c>
      <c r="C107" s="6">
        <v>-38803907</v>
      </c>
      <c r="D107" s="6">
        <v>-50830636</v>
      </c>
      <c r="E107" s="6">
        <v>-52271691</v>
      </c>
      <c r="F107" s="6">
        <v>-55250343</v>
      </c>
      <c r="G107" s="6">
        <v>-53796077</v>
      </c>
      <c r="H107" s="6">
        <v>-58901242</v>
      </c>
      <c r="I107" s="6">
        <v>-52089500</v>
      </c>
      <c r="J107" s="6">
        <v>-68584398</v>
      </c>
      <c r="K107" s="6">
        <v>-70132193</v>
      </c>
      <c r="L107" s="6">
        <v>-79684088</v>
      </c>
      <c r="M107" s="6">
        <v>-98585660</v>
      </c>
      <c r="N107" s="6">
        <v>-106577967</v>
      </c>
      <c r="O107" s="6">
        <v>-122085652</v>
      </c>
      <c r="P107" s="6">
        <v>22258555</v>
      </c>
    </row>
    <row r="108" spans="1:16" x14ac:dyDescent="0.3">
      <c r="A108" s="2" t="s">
        <v>99</v>
      </c>
      <c r="B108" s="6">
        <v>503407491</v>
      </c>
      <c r="C108" s="6">
        <v>568806105</v>
      </c>
      <c r="D108" s="6">
        <v>716744150</v>
      </c>
      <c r="E108" s="6">
        <v>956136841</v>
      </c>
      <c r="F108" s="6">
        <v>1024171930</v>
      </c>
      <c r="G108" s="6">
        <v>1137592884</v>
      </c>
      <c r="H108" s="6">
        <v>1168814862</v>
      </c>
      <c r="I108" s="6">
        <v>1220664545</v>
      </c>
      <c r="J108" s="6">
        <v>1171742705</v>
      </c>
      <c r="K108" s="6">
        <v>1100674425</v>
      </c>
      <c r="L108" s="6">
        <v>1131313467</v>
      </c>
      <c r="M108" s="6">
        <v>1342942385</v>
      </c>
      <c r="N108" s="6">
        <v>1459378315</v>
      </c>
      <c r="O108" s="6">
        <v>1395401392</v>
      </c>
      <c r="P108" s="6">
        <v>380732041</v>
      </c>
    </row>
    <row r="109" spans="1:16" x14ac:dyDescent="0.3">
      <c r="A109" s="2" t="s">
        <v>73</v>
      </c>
      <c r="B109" s="6">
        <v>-1493117</v>
      </c>
      <c r="C109" s="6">
        <v>-1456948</v>
      </c>
      <c r="D109" s="6">
        <v>-122644</v>
      </c>
      <c r="E109" s="6">
        <v>2433477</v>
      </c>
      <c r="F109" s="6">
        <v>5981586</v>
      </c>
      <c r="G109" s="6">
        <v>-33432</v>
      </c>
      <c r="H109" s="6">
        <v>390536</v>
      </c>
      <c r="I109" s="6">
        <v>124569</v>
      </c>
      <c r="J109" s="6">
        <v>-89000</v>
      </c>
      <c r="K109" s="6">
        <v>207275453</v>
      </c>
      <c r="L109" s="6">
        <v>41585368</v>
      </c>
      <c r="M109" s="6">
        <v>20809511</v>
      </c>
      <c r="N109" s="6">
        <v>544963983</v>
      </c>
      <c r="O109" s="6">
        <v>51324376</v>
      </c>
      <c r="P109" s="6">
        <v>-116948</v>
      </c>
    </row>
    <row r="110" spans="1:16" x14ac:dyDescent="0.3">
      <c r="A110" s="2" t="s">
        <v>74</v>
      </c>
      <c r="B110" s="6">
        <v>208540723</v>
      </c>
      <c r="C110" s="6">
        <v>238227340</v>
      </c>
      <c r="D110" s="6">
        <v>221580037</v>
      </c>
      <c r="E110" s="6">
        <v>218036930</v>
      </c>
      <c r="F110" s="6">
        <v>126769297</v>
      </c>
      <c r="G110" s="6">
        <v>80843799</v>
      </c>
      <c r="H110" s="6">
        <v>114395321</v>
      </c>
      <c r="I110" s="6">
        <v>117385336</v>
      </c>
      <c r="J110" s="6">
        <v>90913071</v>
      </c>
      <c r="K110" s="6">
        <v>343916569</v>
      </c>
      <c r="L110" s="6">
        <v>212469036</v>
      </c>
      <c r="M110" s="6">
        <v>294374685</v>
      </c>
      <c r="N110" s="6">
        <v>757608676</v>
      </c>
      <c r="O110" s="6">
        <v>249569340</v>
      </c>
      <c r="P110" s="6">
        <v>51836701</v>
      </c>
    </row>
    <row r="111" spans="1:16" x14ac:dyDescent="0.3">
      <c r="A111" s="2" t="s">
        <v>75</v>
      </c>
      <c r="B111" s="6">
        <v>0</v>
      </c>
      <c r="C111" s="6">
        <v>0</v>
      </c>
      <c r="D111" s="6">
        <v>0</v>
      </c>
      <c r="E111" s="6">
        <v>0</v>
      </c>
      <c r="F111" s="6">
        <v>0</v>
      </c>
      <c r="G111" s="6">
        <v>0</v>
      </c>
      <c r="H111" s="6">
        <v>0</v>
      </c>
      <c r="I111" s="6">
        <v>0</v>
      </c>
      <c r="J111" s="6">
        <v>0</v>
      </c>
      <c r="K111" s="6">
        <v>0</v>
      </c>
      <c r="L111" s="6">
        <v>0</v>
      </c>
      <c r="M111" s="6">
        <v>0</v>
      </c>
      <c r="N111" s="6">
        <v>0</v>
      </c>
      <c r="O111" s="6">
        <v>0</v>
      </c>
      <c r="P111" s="6">
        <v>0</v>
      </c>
    </row>
    <row r="112" spans="1:16" x14ac:dyDescent="0.3">
      <c r="A112" s="2" t="s">
        <v>76</v>
      </c>
      <c r="B112" s="6">
        <v>970282</v>
      </c>
      <c r="C112" s="6">
        <v>3059293</v>
      </c>
      <c r="D112" s="6">
        <v>2823225</v>
      </c>
      <c r="E112" s="6">
        <v>1946886</v>
      </c>
      <c r="F112" s="6">
        <v>10818705</v>
      </c>
      <c r="G112" s="6">
        <v>12183865</v>
      </c>
      <c r="H112" s="6">
        <v>5952920</v>
      </c>
      <c r="I112" s="6">
        <v>5225532</v>
      </c>
      <c r="J112" s="6">
        <v>1889772</v>
      </c>
      <c r="K112" s="6">
        <v>8746947</v>
      </c>
      <c r="L112" s="6">
        <v>10894534</v>
      </c>
      <c r="M112" s="6">
        <v>4919952</v>
      </c>
      <c r="N112" s="6">
        <v>26563887</v>
      </c>
      <c r="O112" s="6">
        <v>26535094</v>
      </c>
      <c r="P112" s="6">
        <v>11361421</v>
      </c>
    </row>
    <row r="113" spans="1:16" x14ac:dyDescent="0.3">
      <c r="A113" s="2" t="s">
        <v>77</v>
      </c>
      <c r="B113" s="6">
        <v>9900811</v>
      </c>
      <c r="C113" s="6">
        <v>10315663</v>
      </c>
      <c r="D113" s="6">
        <v>13700677</v>
      </c>
      <c r="E113" s="6">
        <v>20838218</v>
      </c>
      <c r="F113" s="6">
        <v>55252785</v>
      </c>
      <c r="G113" s="6">
        <v>70978326</v>
      </c>
      <c r="H113" s="6">
        <v>82221963</v>
      </c>
      <c r="I113" s="6">
        <v>80035968</v>
      </c>
      <c r="J113" s="6">
        <v>77711185</v>
      </c>
      <c r="K113" s="6">
        <v>97558997</v>
      </c>
      <c r="L113" s="6">
        <v>102535938</v>
      </c>
      <c r="M113" s="6">
        <v>113951133</v>
      </c>
      <c r="N113" s="6">
        <v>113696383</v>
      </c>
      <c r="O113" s="6">
        <v>113270200</v>
      </c>
      <c r="P113" s="6">
        <v>27500891</v>
      </c>
    </row>
    <row r="114" spans="1:16" x14ac:dyDescent="0.3">
      <c r="A114" s="2" t="s">
        <v>78</v>
      </c>
      <c r="B114" s="4" t="s">
        <v>1</v>
      </c>
      <c r="C114" s="6">
        <v>0</v>
      </c>
      <c r="D114" s="6">
        <v>0</v>
      </c>
      <c r="E114" s="6">
        <v>0</v>
      </c>
      <c r="F114" s="6">
        <v>0</v>
      </c>
      <c r="G114" s="6">
        <v>0</v>
      </c>
      <c r="H114" s="6">
        <v>0</v>
      </c>
      <c r="I114" s="6">
        <v>0</v>
      </c>
      <c r="J114" s="6">
        <v>0</v>
      </c>
      <c r="K114" s="6">
        <v>0</v>
      </c>
      <c r="L114" s="6">
        <v>0</v>
      </c>
      <c r="M114" s="6">
        <v>0</v>
      </c>
      <c r="N114" s="6">
        <v>0</v>
      </c>
      <c r="O114" s="6">
        <v>0</v>
      </c>
      <c r="P114" s="6">
        <v>0</v>
      </c>
    </row>
    <row r="115" spans="1:16" x14ac:dyDescent="0.3">
      <c r="A115" s="2" t="s">
        <v>79</v>
      </c>
      <c r="B115" s="6">
        <v>0</v>
      </c>
      <c r="C115" s="6">
        <v>0</v>
      </c>
      <c r="D115" s="6">
        <v>0</v>
      </c>
      <c r="E115" s="6">
        <v>0</v>
      </c>
      <c r="F115" s="6">
        <v>0</v>
      </c>
      <c r="G115" s="6">
        <v>0</v>
      </c>
      <c r="H115" s="6">
        <v>0</v>
      </c>
      <c r="I115" s="6">
        <v>0</v>
      </c>
      <c r="J115" s="6">
        <v>0</v>
      </c>
      <c r="K115" s="6">
        <v>0</v>
      </c>
      <c r="L115" s="6">
        <v>0</v>
      </c>
      <c r="M115" s="6">
        <v>0</v>
      </c>
      <c r="N115" s="6">
        <v>0</v>
      </c>
      <c r="O115" s="6">
        <v>0</v>
      </c>
      <c r="P115" s="6">
        <v>0</v>
      </c>
    </row>
    <row r="116" spans="1:16" x14ac:dyDescent="0.3">
      <c r="A116" s="2" t="s">
        <v>80</v>
      </c>
      <c r="B116" s="6">
        <v>1296277</v>
      </c>
      <c r="C116" s="6">
        <v>-6349377</v>
      </c>
      <c r="D116" s="6">
        <v>-8795595</v>
      </c>
      <c r="E116" s="6">
        <v>-21078202</v>
      </c>
      <c r="F116" s="6">
        <v>-11243068</v>
      </c>
      <c r="G116" s="6">
        <v>-12945839</v>
      </c>
      <c r="H116" s="6">
        <v>-16051379</v>
      </c>
      <c r="I116" s="6">
        <v>-6973571</v>
      </c>
      <c r="J116" s="6">
        <v>-994222</v>
      </c>
      <c r="K116" s="6">
        <v>4551310</v>
      </c>
      <c r="L116" s="6">
        <v>-115094</v>
      </c>
      <c r="M116" s="6">
        <v>250185</v>
      </c>
      <c r="N116" s="6">
        <v>-350491</v>
      </c>
      <c r="O116" s="6">
        <v>-3187775</v>
      </c>
      <c r="P116" s="6">
        <v>-1343755</v>
      </c>
    </row>
    <row r="117" spans="1:16" x14ac:dyDescent="0.3">
      <c r="A117" s="2" t="s">
        <v>81</v>
      </c>
      <c r="B117" s="6">
        <v>-3337075</v>
      </c>
      <c r="C117" s="6">
        <v>-5295078</v>
      </c>
      <c r="D117" s="6">
        <v>-3270641</v>
      </c>
      <c r="E117" s="6">
        <v>-1150441</v>
      </c>
      <c r="F117" s="6">
        <v>-22635632</v>
      </c>
      <c r="G117" s="6">
        <v>-22985872</v>
      </c>
      <c r="H117" s="6">
        <v>-15934835</v>
      </c>
      <c r="I117" s="6">
        <v>-9600405</v>
      </c>
      <c r="J117" s="6">
        <v>-16368412</v>
      </c>
      <c r="K117" s="6">
        <v>-19445992</v>
      </c>
      <c r="L117" s="6">
        <v>-26758482</v>
      </c>
      <c r="M117" s="6">
        <v>-66963329</v>
      </c>
      <c r="N117" s="6">
        <v>-130374245</v>
      </c>
      <c r="O117" s="6">
        <v>-39051828</v>
      </c>
      <c r="P117" s="6">
        <v>-5147068</v>
      </c>
    </row>
    <row r="118" spans="1:16" x14ac:dyDescent="0.3">
      <c r="A118" s="2" t="s">
        <v>82</v>
      </c>
      <c r="B118" s="6">
        <v>0</v>
      </c>
      <c r="C118" s="6">
        <v>0</v>
      </c>
      <c r="D118" s="6">
        <v>0</v>
      </c>
      <c r="E118" s="6">
        <v>0</v>
      </c>
      <c r="F118" s="6">
        <v>0</v>
      </c>
      <c r="G118" s="6">
        <v>0</v>
      </c>
      <c r="H118" s="6">
        <v>0</v>
      </c>
      <c r="I118" s="6">
        <v>0</v>
      </c>
      <c r="J118" s="6">
        <v>0</v>
      </c>
      <c r="K118" s="6">
        <v>0</v>
      </c>
      <c r="L118" s="6">
        <v>0</v>
      </c>
      <c r="M118" s="6">
        <v>0</v>
      </c>
      <c r="N118" s="6">
        <v>0</v>
      </c>
      <c r="O118" s="6">
        <v>0</v>
      </c>
      <c r="P118" s="6">
        <v>0</v>
      </c>
    </row>
    <row r="119" spans="1:16" x14ac:dyDescent="0.3">
      <c r="A119" s="2" t="s">
        <v>83</v>
      </c>
      <c r="B119" s="4" t="s">
        <v>1</v>
      </c>
      <c r="C119" s="6">
        <v>0</v>
      </c>
      <c r="D119" s="6">
        <v>0</v>
      </c>
      <c r="E119" s="6">
        <v>0</v>
      </c>
      <c r="F119" s="6">
        <v>0</v>
      </c>
      <c r="G119" s="6">
        <v>0</v>
      </c>
      <c r="H119" s="6">
        <v>0</v>
      </c>
      <c r="I119" s="6">
        <v>0</v>
      </c>
      <c r="J119" s="6">
        <v>0</v>
      </c>
      <c r="K119" s="6">
        <v>0</v>
      </c>
      <c r="L119" s="6">
        <v>0</v>
      </c>
      <c r="M119" s="6">
        <v>0</v>
      </c>
      <c r="N119" s="6">
        <v>0</v>
      </c>
      <c r="O119" s="6">
        <v>0</v>
      </c>
      <c r="P119" s="6">
        <v>0</v>
      </c>
    </row>
    <row r="120" spans="1:16" x14ac:dyDescent="0.3">
      <c r="A120" s="2" t="s">
        <v>84</v>
      </c>
      <c r="B120" s="4" t="s">
        <v>1</v>
      </c>
      <c r="C120" s="6">
        <v>0</v>
      </c>
      <c r="D120" s="6">
        <v>0</v>
      </c>
      <c r="E120" s="6">
        <v>0</v>
      </c>
      <c r="F120" s="6">
        <v>0</v>
      </c>
      <c r="G120" s="6">
        <v>0</v>
      </c>
      <c r="H120" s="6">
        <v>0</v>
      </c>
      <c r="I120" s="6">
        <v>0</v>
      </c>
      <c r="J120" s="6">
        <v>0</v>
      </c>
      <c r="K120" s="6">
        <v>0</v>
      </c>
      <c r="L120" s="6">
        <v>0</v>
      </c>
      <c r="M120" s="6">
        <v>0</v>
      </c>
      <c r="N120" s="6">
        <v>0</v>
      </c>
      <c r="O120" s="6">
        <v>0</v>
      </c>
      <c r="P120" s="6">
        <v>0</v>
      </c>
    </row>
    <row r="121" spans="1:16" x14ac:dyDescent="0.3">
      <c r="A121" s="2" t="s">
        <v>85</v>
      </c>
      <c r="B121" s="6">
        <v>197569396</v>
      </c>
      <c r="C121" s="6">
        <v>219326515</v>
      </c>
      <c r="D121" s="6">
        <v>198636349</v>
      </c>
      <c r="E121" s="6">
        <v>176916955</v>
      </c>
      <c r="F121" s="6">
        <v>48456517</v>
      </c>
      <c r="G121" s="6">
        <v>-13882373</v>
      </c>
      <c r="H121" s="6">
        <v>6140064</v>
      </c>
      <c r="I121" s="6">
        <v>26000924</v>
      </c>
      <c r="J121" s="6">
        <v>-2270976</v>
      </c>
      <c r="K121" s="6">
        <v>240209837</v>
      </c>
      <c r="L121" s="6">
        <v>93954056</v>
      </c>
      <c r="M121" s="6">
        <v>118630360</v>
      </c>
      <c r="N121" s="6">
        <v>539751444</v>
      </c>
      <c r="O121" s="6">
        <v>120594631</v>
      </c>
      <c r="P121" s="6">
        <v>29206408</v>
      </c>
    </row>
    <row r="122" spans="1:16" x14ac:dyDescent="0.3">
      <c r="A122" s="2" t="s">
        <v>86</v>
      </c>
      <c r="B122" s="6">
        <v>24598187</v>
      </c>
      <c r="C122" s="6">
        <v>38559856</v>
      </c>
      <c r="D122" s="6">
        <v>31342233</v>
      </c>
      <c r="E122" s="6">
        <v>29951701</v>
      </c>
      <c r="F122" s="6">
        <v>-8013985</v>
      </c>
      <c r="G122" s="6">
        <v>-12780376</v>
      </c>
      <c r="H122" s="6">
        <v>-28018036</v>
      </c>
      <c r="I122" s="6">
        <v>-17408617</v>
      </c>
      <c r="J122" s="6">
        <v>21343116</v>
      </c>
      <c r="K122" s="6">
        <v>86057731</v>
      </c>
      <c r="L122" s="6">
        <v>9487808</v>
      </c>
      <c r="M122" s="6">
        <v>43655049</v>
      </c>
      <c r="N122" s="6">
        <v>82964112</v>
      </c>
      <c r="O122" s="6">
        <v>31710265</v>
      </c>
      <c r="P122" s="6">
        <v>49637925</v>
      </c>
    </row>
    <row r="123" spans="1:16" x14ac:dyDescent="0.3">
      <c r="A123" s="2" t="s">
        <v>87</v>
      </c>
      <c r="B123" s="6">
        <v>172971209</v>
      </c>
      <c r="C123" s="6">
        <v>180766659</v>
      </c>
      <c r="D123" s="6">
        <v>167294116</v>
      </c>
      <c r="E123" s="6">
        <v>146965254</v>
      </c>
      <c r="F123" s="6">
        <v>56470502</v>
      </c>
      <c r="G123" s="6">
        <v>-1101997</v>
      </c>
      <c r="H123" s="6">
        <v>34158100</v>
      </c>
      <c r="I123" s="6">
        <v>43409541</v>
      </c>
      <c r="J123" s="6">
        <v>-23614092</v>
      </c>
      <c r="K123" s="6">
        <v>154152106</v>
      </c>
      <c r="L123" s="6">
        <v>84466248</v>
      </c>
      <c r="M123" s="6">
        <v>74975311</v>
      </c>
      <c r="N123" s="6">
        <v>456787332</v>
      </c>
      <c r="O123" s="6">
        <v>88884366</v>
      </c>
      <c r="P123" s="6">
        <v>-20431517</v>
      </c>
    </row>
    <row r="124" spans="1:16" x14ac:dyDescent="0.3">
      <c r="A124" s="2" t="s">
        <v>100</v>
      </c>
      <c r="B124" s="6">
        <v>0</v>
      </c>
      <c r="C124" s="6">
        <v>0</v>
      </c>
      <c r="D124" s="6">
        <v>0</v>
      </c>
      <c r="E124" s="6">
        <v>0</v>
      </c>
      <c r="F124" s="6">
        <v>0</v>
      </c>
      <c r="G124" s="6">
        <v>0</v>
      </c>
      <c r="H124" s="6">
        <v>0</v>
      </c>
      <c r="I124" s="6">
        <v>0</v>
      </c>
      <c r="J124" s="6">
        <v>0</v>
      </c>
      <c r="K124" s="6">
        <v>0</v>
      </c>
      <c r="L124" s="6">
        <v>0</v>
      </c>
      <c r="M124" s="6">
        <v>0</v>
      </c>
      <c r="N124" s="6">
        <v>0</v>
      </c>
      <c r="O124" s="6">
        <v>0</v>
      </c>
      <c r="P124" s="6">
        <v>0</v>
      </c>
    </row>
    <row r="125" spans="1:16" x14ac:dyDescent="0.3">
      <c r="A125" s="2" t="s">
        <v>89</v>
      </c>
      <c r="B125" s="6">
        <v>0</v>
      </c>
      <c r="C125" s="6">
        <v>0</v>
      </c>
      <c r="D125" s="6">
        <v>0</v>
      </c>
      <c r="E125" s="6">
        <v>0</v>
      </c>
      <c r="F125" s="6">
        <v>0</v>
      </c>
      <c r="G125" s="6">
        <v>0</v>
      </c>
      <c r="H125" s="6">
        <v>0</v>
      </c>
      <c r="I125" s="6">
        <v>0</v>
      </c>
      <c r="J125" s="6">
        <v>0</v>
      </c>
      <c r="K125" s="6">
        <v>0</v>
      </c>
      <c r="L125" s="6">
        <v>0</v>
      </c>
      <c r="M125" s="6">
        <v>0</v>
      </c>
      <c r="N125" s="6">
        <v>0</v>
      </c>
      <c r="O125" s="6">
        <v>0</v>
      </c>
      <c r="P125" s="6">
        <v>0</v>
      </c>
    </row>
    <row r="126" spans="1:16" x14ac:dyDescent="0.3">
      <c r="A126" s="2" t="s">
        <v>90</v>
      </c>
      <c r="B126" s="6">
        <v>172971209</v>
      </c>
      <c r="C126" s="6">
        <v>180766659</v>
      </c>
      <c r="D126" s="6">
        <v>167294116</v>
      </c>
      <c r="E126" s="6">
        <v>146965254</v>
      </c>
      <c r="F126" s="6">
        <v>56470502</v>
      </c>
      <c r="G126" s="6">
        <v>-1101997</v>
      </c>
      <c r="H126" s="6">
        <v>34158100</v>
      </c>
      <c r="I126" s="6">
        <v>43409541</v>
      </c>
      <c r="J126" s="6">
        <v>-23614092</v>
      </c>
      <c r="K126" s="6">
        <v>154152106</v>
      </c>
      <c r="L126" s="6">
        <v>84466248</v>
      </c>
      <c r="M126" s="6">
        <v>74975311</v>
      </c>
      <c r="N126" s="6">
        <v>456787332</v>
      </c>
      <c r="O126" s="6">
        <v>88884366</v>
      </c>
      <c r="P126" s="6">
        <v>-20431517</v>
      </c>
    </row>
    <row r="127" spans="1:16" x14ac:dyDescent="0.3">
      <c r="A127" s="2" t="s">
        <v>91</v>
      </c>
      <c r="B127" s="6">
        <v>0</v>
      </c>
      <c r="C127" s="6">
        <v>0</v>
      </c>
      <c r="D127" s="6">
        <v>0</v>
      </c>
      <c r="E127" s="6">
        <v>0</v>
      </c>
      <c r="F127" s="6">
        <v>0</v>
      </c>
      <c r="G127" s="6">
        <v>0</v>
      </c>
      <c r="H127" s="6">
        <v>0</v>
      </c>
      <c r="I127" s="6">
        <v>0</v>
      </c>
      <c r="J127" s="6">
        <v>0</v>
      </c>
      <c r="K127" s="6">
        <v>0</v>
      </c>
      <c r="L127" s="6">
        <v>0</v>
      </c>
      <c r="M127" s="6">
        <v>0</v>
      </c>
      <c r="N127" s="6">
        <v>0</v>
      </c>
      <c r="O127" s="6">
        <v>0</v>
      </c>
      <c r="P127" s="6">
        <v>0</v>
      </c>
    </row>
    <row r="128" spans="1:16" x14ac:dyDescent="0.3">
      <c r="A128" s="2" t="s">
        <v>92</v>
      </c>
      <c r="B128" s="6">
        <v>172971209</v>
      </c>
      <c r="C128" s="6">
        <v>180766659</v>
      </c>
      <c r="D128" s="6">
        <v>167294116</v>
      </c>
      <c r="E128" s="6">
        <v>146965254</v>
      </c>
      <c r="F128" s="6">
        <v>56470502</v>
      </c>
      <c r="G128" s="6">
        <v>-1101997</v>
      </c>
      <c r="H128" s="6">
        <v>34158100</v>
      </c>
      <c r="I128" s="6">
        <v>43409541</v>
      </c>
      <c r="J128" s="6">
        <v>-23614092</v>
      </c>
      <c r="K128" s="6">
        <v>154152106</v>
      </c>
      <c r="L128" s="6">
        <v>84466248</v>
      </c>
      <c r="M128" s="6">
        <v>74975311</v>
      </c>
      <c r="N128" s="6">
        <v>456787332</v>
      </c>
      <c r="O128" s="6">
        <v>88884366</v>
      </c>
      <c r="P128" s="6">
        <v>-20431517</v>
      </c>
    </row>
    <row r="129" spans="1:16" x14ac:dyDescent="0.3">
      <c r="A129" s="2"/>
      <c r="B129" s="4"/>
      <c r="C129" s="4"/>
      <c r="D129" s="4"/>
      <c r="E129" s="4"/>
      <c r="F129" s="4"/>
      <c r="G129" s="4"/>
      <c r="H129" s="4"/>
      <c r="I129" s="4"/>
      <c r="J129" s="4"/>
      <c r="K129" s="4"/>
      <c r="L129" s="4"/>
      <c r="M129" s="4"/>
      <c r="N129" s="4"/>
      <c r="O129" s="4"/>
      <c r="P129" s="4"/>
    </row>
  </sheetData>
  <pageMargins left="0.7" right="0.7" top="0.75" bottom="0.75" header="0.3" footer="0.3"/>
  <pageSetup paperSize="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8EB8-31C6-4035-B109-3D678AEC3A0C}">
  <dimension ref="A1:Q163"/>
  <sheetViews>
    <sheetView topLeftCell="A140" zoomScale="95" zoomScaleNormal="100" workbookViewId="0">
      <selection activeCell="B3" sqref="B3"/>
    </sheetView>
  </sheetViews>
  <sheetFormatPr baseColWidth="10" defaultRowHeight="14.4" x14ac:dyDescent="0.3"/>
  <cols>
    <col min="1" max="1" width="22.33203125" bestFit="1" customWidth="1"/>
    <col min="2" max="2" width="13" bestFit="1" customWidth="1"/>
    <col min="3" max="3" width="19.21875" customWidth="1"/>
    <col min="4" max="5" width="14.88671875" bestFit="1" customWidth="1"/>
    <col min="6" max="6" width="12.88671875" bestFit="1" customWidth="1"/>
    <col min="7" max="7" width="14.88671875" bestFit="1" customWidth="1"/>
    <col min="8" max="9" width="13.88671875" bestFit="1" customWidth="1"/>
    <col min="10" max="11" width="14.88671875" bestFit="1" customWidth="1"/>
    <col min="12" max="12" width="15.21875" bestFit="1" customWidth="1"/>
    <col min="13" max="13" width="13.88671875" bestFit="1" customWidth="1"/>
    <col min="14" max="14" width="14.88671875" bestFit="1" customWidth="1"/>
    <col min="15" max="16" width="13.88671875" bestFit="1" customWidth="1"/>
  </cols>
  <sheetData>
    <row r="1" spans="1:17" x14ac:dyDescent="0.3">
      <c r="A1" s="28" t="s">
        <v>106</v>
      </c>
      <c r="B1" s="28"/>
      <c r="C1" s="28"/>
      <c r="D1" s="28"/>
      <c r="E1" s="28"/>
      <c r="F1" s="28"/>
      <c r="G1" s="28"/>
      <c r="H1" s="28"/>
      <c r="I1" s="28"/>
      <c r="J1" s="28"/>
      <c r="K1" s="28"/>
      <c r="L1" s="28"/>
      <c r="M1" s="28"/>
      <c r="N1" s="28"/>
      <c r="O1" s="28"/>
      <c r="P1" s="28"/>
    </row>
    <row r="2" spans="1:17" x14ac:dyDescent="0.3">
      <c r="A2" s="16"/>
      <c r="B2" s="16">
        <v>2010</v>
      </c>
      <c r="C2" s="16">
        <v>2011</v>
      </c>
      <c r="D2" s="16">
        <v>2012</v>
      </c>
      <c r="E2" s="16">
        <v>2013</v>
      </c>
      <c r="F2" s="16">
        <v>2014</v>
      </c>
      <c r="G2" s="16">
        <v>2015</v>
      </c>
      <c r="H2" s="16">
        <v>2016</v>
      </c>
      <c r="I2" s="16">
        <v>2017</v>
      </c>
      <c r="J2" s="16">
        <v>2018</v>
      </c>
      <c r="K2" s="16">
        <v>2019</v>
      </c>
      <c r="L2" s="16">
        <v>2020</v>
      </c>
      <c r="M2" s="16">
        <v>2021</v>
      </c>
      <c r="N2" s="16">
        <v>2022</v>
      </c>
      <c r="O2" s="16">
        <v>2023</v>
      </c>
      <c r="P2" s="16"/>
    </row>
    <row r="3" spans="1:17" x14ac:dyDescent="0.3">
      <c r="A3" s="16" t="s">
        <v>102</v>
      </c>
      <c r="B3" s="19">
        <f>ENEL!B4/ENEL!B34</f>
        <v>1.0087820035603194</v>
      </c>
      <c r="C3" s="17">
        <f>ENEL!C4/ENEL!C34</f>
        <v>0.92764629663894349</v>
      </c>
      <c r="D3" s="17">
        <f>ENEL!D4/ENEL!D34</f>
        <v>0.96247640458931871</v>
      </c>
      <c r="E3" s="17">
        <f>ENEL!E4/ENEL!E34</f>
        <v>1.1028868980548385</v>
      </c>
      <c r="F3" s="17">
        <f>ENEL!F4/ENEL!F34</f>
        <v>1.5031730993700296</v>
      </c>
      <c r="G3" s="17">
        <f>ENEL!G4/ENEL!G34</f>
        <v>1.1867179721769952</v>
      </c>
      <c r="H3" s="17">
        <f>ENEL!H4/ENEL!H34</f>
        <v>1.3330373250329353</v>
      </c>
      <c r="I3" s="17">
        <f>ENEL!I4/ENEL!I34</f>
        <v>1.1949634770758819</v>
      </c>
      <c r="J3" s="17">
        <f>ENEL!J4/ENEL!J34</f>
        <v>1.2305196346304024</v>
      </c>
      <c r="K3" s="17">
        <f>ENEL!K4/ENEL!K34</f>
        <v>1.5153545934184507</v>
      </c>
      <c r="L3" s="17">
        <f>ENEL!L4/ENEL!L34</f>
        <v>1.6912700026355489</v>
      </c>
      <c r="M3" s="17">
        <f>ENEL!M4/ENEL!M34</f>
        <v>1.1189108513062529</v>
      </c>
      <c r="N3" s="17">
        <f>ENEL!N4/ENEL!N34</f>
        <v>1.3115020080871889</v>
      </c>
      <c r="O3" s="17">
        <f>ENEL!O4/ENEL!O34</f>
        <v>1.1937721004573087</v>
      </c>
      <c r="P3" s="17"/>
      <c r="Q3" s="15"/>
    </row>
    <row r="4" spans="1:17" x14ac:dyDescent="0.3">
      <c r="A4" s="16" t="s">
        <v>107</v>
      </c>
      <c r="B4" s="18">
        <f>(ENEL!B4-(ENEL!B11+ENEL!B12 + ENEL!B13))/ENEL!B34</f>
        <v>0.86555239871126299</v>
      </c>
      <c r="C4" s="18">
        <f>(ENEL!C4-(ENEL!C11+ENEL!C12 + ENEL!C13))/ENEL!C34</f>
        <v>0.75375889780753358</v>
      </c>
      <c r="D4" s="18">
        <f>(ENEL!D4-(ENEL!D11+ENEL!D12 + ENEL!D13))/ENEL!D34</f>
        <v>0.79257689427034417</v>
      </c>
      <c r="E4" s="18">
        <f>(ENEL!E4-(ENEL!E11+ENEL!E12 + ENEL!E13))/ENEL!E34</f>
        <v>0.74179233596902405</v>
      </c>
      <c r="F4" s="18">
        <f>(ENEL!F4-(ENEL!F11+ENEL!F12 + ENEL!F13))/ENEL!F34</f>
        <v>1.2311652159316355</v>
      </c>
      <c r="G4" s="18">
        <f>(ENEL!G4-(ENEL!G11+ENEL!G12 + ENEL!G13))/ENEL!G34</f>
        <v>0.84961385574643478</v>
      </c>
      <c r="H4" s="18">
        <f>(ENEL!H4-(ENEL!H11+ENEL!H12 + ENEL!H13))/ENEL!H34</f>
        <v>0.8260437183824012</v>
      </c>
      <c r="I4" s="18">
        <f>(ENEL!I4-(ENEL!I11+ENEL!I12 + ENEL!I13))/ENEL!I34</f>
        <v>0.84797178491899472</v>
      </c>
      <c r="J4" s="18">
        <f>(ENEL!J4-(ENEL!J11+ENEL!J12 + ENEL!J13))/ENEL!J34</f>
        <v>0.96845904678336647</v>
      </c>
      <c r="K4" s="18">
        <f>(ENEL!K4-(ENEL!K11+ENEL!K12 + ENEL!K13))/ENEL!K34</f>
        <v>1.3553248437474485</v>
      </c>
      <c r="L4" s="18">
        <f>(ENEL!L4-(ENEL!L11+ENEL!L12 + ENEL!L13))/ENEL!L34</f>
        <v>1.4337303991605301</v>
      </c>
      <c r="M4" s="18">
        <f>(ENEL!M4-(ENEL!M11+ENEL!M12 + ENEL!M13))/ENEL!M34</f>
        <v>0.99302051463807406</v>
      </c>
      <c r="N4" s="18">
        <f>(ENEL!N4-(ENEL!N11+ENEL!N12 + ENEL!N13))/ENEL!N34</f>
        <v>0.97900694022147505</v>
      </c>
      <c r="O4" s="18">
        <f>(ENEL!O4-(ENEL!O11+ENEL!O12 + ENEL!O13))/ENEL!O34</f>
        <v>1.0932568811879284</v>
      </c>
      <c r="P4" s="18"/>
    </row>
    <row r="5" spans="1:17" x14ac:dyDescent="0.3">
      <c r="A5" s="16" t="s">
        <v>108</v>
      </c>
      <c r="B5" s="18">
        <f>(ENEL!B4-ENEL!B11)/ENEL!B34</f>
        <v>0.91100835005509684</v>
      </c>
      <c r="C5" s="18">
        <f>(ENEL!C4-ENEL!C11)/ENEL!C34</f>
        <v>0.76762101392362858</v>
      </c>
      <c r="D5" s="18">
        <f>(ENEL!D4-ENEL!D11)/ENEL!D34</f>
        <v>0.8114305538306783</v>
      </c>
      <c r="E5" s="18">
        <f>(ENEL!E4-ENEL!E11)/ENEL!E34</f>
        <v>0.81089034890343781</v>
      </c>
      <c r="F5" s="18">
        <f>(ENEL!F4-ENEL!F11)/ENEL!F34</f>
        <v>1.3204921932985005</v>
      </c>
      <c r="G5" s="18">
        <f>(ENEL!G4-ENEL!G11)/ENEL!G34</f>
        <v>1.0252984224225286</v>
      </c>
      <c r="H5" s="18">
        <f>(ENEL!H4-ENEL!H11)/ENEL!H34</f>
        <v>1.174341896503009</v>
      </c>
      <c r="I5" s="18">
        <f>(ENEL!I4-ENEL!I11)/ENEL!I34</f>
        <v>1.039480492134254</v>
      </c>
      <c r="J5" s="18">
        <f>(ENEL!J4-ENEL!J11)/ENEL!J34</f>
        <v>1.048005793252291</v>
      </c>
      <c r="K5" s="18">
        <f>(ENEL!K4-ENEL!K11)/ENEL!K34</f>
        <v>1.4226329586781257</v>
      </c>
      <c r="L5" s="18">
        <f>(ENEL!L4-ENEL!L11)/ENEL!L34</f>
        <v>1.5957892335907908</v>
      </c>
      <c r="M5" s="18">
        <f>(ENEL!M4-ENEL!M11)/ENEL!M34</f>
        <v>1.014446805852051</v>
      </c>
      <c r="N5" s="18">
        <f>(ENEL!N4-ENEL!N11)/ENEL!N34</f>
        <v>1.2051070331288385</v>
      </c>
      <c r="O5" s="18">
        <f>(ENEL!O4-ENEL!O11)/ENEL!O34</f>
        <v>1.1133337552653317</v>
      </c>
      <c r="P5" s="18"/>
    </row>
    <row r="6" spans="1:17" x14ac:dyDescent="0.3">
      <c r="A6" s="16"/>
      <c r="B6" s="16"/>
      <c r="C6" s="16"/>
      <c r="D6" s="16"/>
      <c r="E6" s="16"/>
      <c r="F6" s="16"/>
      <c r="G6" s="16"/>
      <c r="H6" s="16"/>
      <c r="I6" s="16"/>
      <c r="J6" s="16"/>
      <c r="K6" s="16"/>
      <c r="L6" s="16"/>
      <c r="M6" s="16"/>
      <c r="N6" s="16"/>
      <c r="O6" s="16"/>
      <c r="P6" s="16"/>
    </row>
    <row r="26" spans="1:16" x14ac:dyDescent="0.3">
      <c r="A26" s="28" t="s">
        <v>109</v>
      </c>
      <c r="B26" s="28"/>
      <c r="C26" s="28"/>
      <c r="D26" s="28"/>
      <c r="E26" s="28"/>
      <c r="F26" s="28"/>
      <c r="G26" s="28"/>
      <c r="H26" s="28"/>
      <c r="I26" s="28"/>
      <c r="J26" s="28"/>
      <c r="K26" s="28"/>
      <c r="L26" s="28"/>
      <c r="M26" s="28"/>
      <c r="N26" s="28"/>
      <c r="O26" s="28"/>
      <c r="P26" s="28"/>
    </row>
    <row r="27" spans="1:16" x14ac:dyDescent="0.3">
      <c r="A27" t="s">
        <v>148</v>
      </c>
      <c r="B27">
        <v>2010</v>
      </c>
      <c r="C27">
        <v>2011</v>
      </c>
      <c r="D27">
        <v>2012</v>
      </c>
      <c r="E27">
        <v>2013</v>
      </c>
      <c r="F27">
        <v>2014</v>
      </c>
      <c r="G27">
        <v>2015</v>
      </c>
      <c r="H27">
        <v>2016</v>
      </c>
      <c r="I27">
        <v>2017</v>
      </c>
      <c r="J27">
        <v>2018</v>
      </c>
      <c r="K27">
        <v>2019</v>
      </c>
      <c r="L27">
        <v>2020</v>
      </c>
      <c r="M27">
        <v>2021</v>
      </c>
      <c r="N27">
        <v>2022</v>
      </c>
      <c r="O27">
        <v>2023</v>
      </c>
    </row>
    <row r="28" spans="1:16" x14ac:dyDescent="0.3">
      <c r="A28" s="16" t="s">
        <v>103</v>
      </c>
      <c r="B28" s="21">
        <f>ENEL!B33/ENEL!B3</f>
        <v>0.51562005995714089</v>
      </c>
      <c r="C28" s="21">
        <f>ENEL!C33/ENEL!C3</f>
        <v>0.50380607104760522</v>
      </c>
      <c r="D28" s="21">
        <f>ENEL!D33/ENEL!D3</f>
        <v>0.51983246026960284</v>
      </c>
      <c r="E28" s="21">
        <f>ENEL!E33/ENEL!E3</f>
        <v>0.6096124802141053</v>
      </c>
      <c r="F28" s="21">
        <f>ENEL!F33/ENEL!F3</f>
        <v>0.68497716906253581</v>
      </c>
      <c r="G28" s="21">
        <f>ENEL!G33/ENEL!G3</f>
        <v>0.7072140519708251</v>
      </c>
      <c r="H28" s="21">
        <f>ENEL!H33/ENEL!H3</f>
        <v>0.63743868305341456</v>
      </c>
      <c r="I28" s="21">
        <f>ENEL!I33/ENEL!I3</f>
        <v>0.64909689057257436</v>
      </c>
      <c r="J28" s="21">
        <f>ENEL!J33/ENEL!J3</f>
        <v>0.65531085761260621</v>
      </c>
      <c r="K28" s="21">
        <f>ENEL!K33/ENEL!K3</f>
        <v>0.68881392997998336</v>
      </c>
      <c r="L28" s="21">
        <f>ENEL!L33/ENEL!L3</f>
        <v>0.69141709246666361</v>
      </c>
      <c r="M28" s="21">
        <f>ENEL!M33/ENEL!M3</f>
        <v>0.72259468159556661</v>
      </c>
      <c r="N28" s="21">
        <f>ENEL!N33/ENEL!N3</f>
        <v>0.72217702818812002</v>
      </c>
      <c r="O28" s="21">
        <f>ENEL!O33/ENEL!O3</f>
        <v>0.7059931967263533</v>
      </c>
      <c r="P28" s="21"/>
    </row>
    <row r="29" spans="1:16" x14ac:dyDescent="0.3">
      <c r="A29" s="16" t="s">
        <v>104</v>
      </c>
      <c r="B29" s="21">
        <f>ENEL!B34/ENEL!B3</f>
        <v>0.25272129329091042</v>
      </c>
      <c r="C29" s="21">
        <f>ENEL!C34/ENEL!C3</f>
        <v>0.25305385476746478</v>
      </c>
      <c r="D29" s="21">
        <f>ENEL!D34/ENEL!D3</f>
        <v>0.25914842715377479</v>
      </c>
      <c r="E29" s="21">
        <f>ENEL!E34/ENEL!E3</f>
        <v>0.22830384388515815</v>
      </c>
      <c r="F29" s="21">
        <f>ENEL!F34/ENEL!F3</f>
        <v>0.19315754033375482</v>
      </c>
      <c r="G29" s="21">
        <f>ENEL!G34/ENEL!G3</f>
        <v>0.17929409382944417</v>
      </c>
      <c r="H29" s="21">
        <f>ENEL!H34/ENEL!H3</f>
        <v>0.16551111098831692</v>
      </c>
      <c r="I29" s="21">
        <f>ENEL!I34/ENEL!I3</f>
        <v>0.17664994911918222</v>
      </c>
      <c r="J29" s="21">
        <f>ENEL!J34/ENEL!J3</f>
        <v>0.16617234104792389</v>
      </c>
      <c r="K29" s="21">
        <f>ENEL!K34/ENEL!K3</f>
        <v>0.17235758830522294</v>
      </c>
      <c r="L29" s="21">
        <f>ENEL!L34/ENEL!L3</f>
        <v>0.16654720528595332</v>
      </c>
      <c r="M29" s="21">
        <f>ENEL!M34/ENEL!M3</f>
        <v>0.21400028130560306</v>
      </c>
      <c r="N29" s="21">
        <f>ENEL!N34/ENEL!N3</f>
        <v>0.20231456306435863</v>
      </c>
      <c r="O29" s="21">
        <f>ENEL!O34/ENEL!O3</f>
        <v>0.23461413595949274</v>
      </c>
      <c r="P29" s="21"/>
    </row>
    <row r="30" spans="1:16" x14ac:dyDescent="0.3">
      <c r="A30" s="16" t="s">
        <v>105</v>
      </c>
      <c r="B30" s="21">
        <f>ENEL!B33/ENEL!B56</f>
        <v>1.064495073663698</v>
      </c>
      <c r="C30" s="21">
        <f>ENEL!C33/ENEL!C56</f>
        <v>1.0153410625383543</v>
      </c>
      <c r="D30" s="21">
        <f>ENEL!D33/ENEL!D56</f>
        <v>1.0826064180878965</v>
      </c>
      <c r="E30" s="21">
        <f>ENEL!E33/ENEL!E56</f>
        <v>1.5615572970889104</v>
      </c>
      <c r="F30" s="21">
        <f>ENEL!F33/ENEL!F56</f>
        <v>2.1743730986866536</v>
      </c>
      <c r="G30" s="21">
        <f>ENEL!G33/ENEL!G56</f>
        <v>2.4154644604062558</v>
      </c>
      <c r="H30" s="21">
        <f>ENEL!H33/ENEL!H56</f>
        <v>1.7581541473364786</v>
      </c>
      <c r="I30" s="21">
        <f>ENEL!I33/ENEL!I56</f>
        <v>1.8497895092229775</v>
      </c>
      <c r="J30" s="21">
        <f>ENEL!J33/ENEL!J56</f>
        <v>1.9011647801662017</v>
      </c>
      <c r="K30" s="21">
        <f>ENEL!K33/ENEL!K56</f>
        <v>2.2135114529248572</v>
      </c>
      <c r="L30" s="21">
        <f>ENEL!L33/ENEL!L56</f>
        <v>2.240620188569483</v>
      </c>
      <c r="M30" s="21">
        <f>ENEL!M33/ENEL!M56</f>
        <v>2.6048335545682835</v>
      </c>
      <c r="N30" s="21">
        <f>ENEL!N33/ENEL!N56</f>
        <v>2.5994143805974472</v>
      </c>
      <c r="O30" s="21">
        <f>ENEL!O33/ENEL!O56</f>
        <v>2.4012818372411959</v>
      </c>
      <c r="P30" s="21"/>
    </row>
    <row r="31" spans="1:16" x14ac:dyDescent="0.3">
      <c r="A31" s="16" t="s">
        <v>111</v>
      </c>
      <c r="B31" s="21">
        <v>1.4284511083240869</v>
      </c>
      <c r="C31" s="21">
        <v>1.5993464767465462</v>
      </c>
      <c r="D31" s="21">
        <v>1.4804264544320185</v>
      </c>
      <c r="E31" s="21">
        <v>1.0160561361277451</v>
      </c>
      <c r="F31" s="21">
        <v>0.68221925198422517</v>
      </c>
      <c r="G31" s="21">
        <v>0.64504753470229637</v>
      </c>
      <c r="H31" s="21">
        <v>0.7608946635756586</v>
      </c>
      <c r="I31" s="21">
        <v>0.75816400499211523</v>
      </c>
      <c r="J31" s="21">
        <v>0.75317701394858039</v>
      </c>
      <c r="K31" s="21">
        <v>1.0044205980558658</v>
      </c>
      <c r="L31" s="21">
        <v>0.97205793611298641</v>
      </c>
      <c r="M31" s="21">
        <v>0.92775907325993034</v>
      </c>
      <c r="N31" s="21">
        <v>1.5807347057641243</v>
      </c>
      <c r="O31" s="21">
        <v>0.95091404077472919</v>
      </c>
      <c r="P31" s="21"/>
    </row>
    <row r="32" spans="1:16" x14ac:dyDescent="0.3">
      <c r="A32" s="16" t="s">
        <v>127</v>
      </c>
      <c r="B32" s="22">
        <f>(ENEL!B128+ENEL!B113)/ENEL!B113</f>
        <v>18.470408131212686</v>
      </c>
      <c r="C32" s="22">
        <f>(ENEL!C128+ENEL!C113)/ENEL!C113</f>
        <v>18.523513418381349</v>
      </c>
      <c r="D32" s="22">
        <f>(ENEL!D128+ENEL!D113)/ENEL!D113</f>
        <v>13.210645941072839</v>
      </c>
      <c r="E32" s="22">
        <f>(ENEL!E128+ENEL!E113)/ENEL!E113</f>
        <v>8.0526785927664264</v>
      </c>
      <c r="F32" s="22">
        <f>(ENEL!F128+ENEL!F113)/ENEL!F113</f>
        <v>2.0220390157708792</v>
      </c>
      <c r="G32" s="22">
        <f>(ENEL!G128+ENEL!G113)/ENEL!G113</f>
        <v>0.98447417596182807</v>
      </c>
      <c r="H32" s="22">
        <f>(ENEL!H128+ENEL!H113)/ENEL!H113</f>
        <v>1.4154376611027883</v>
      </c>
      <c r="I32" s="22">
        <f>(ENEL!I128+ENEL!I113)/ENEL!I113</f>
        <v>1.5423754105154324</v>
      </c>
      <c r="J32" s="22">
        <f>(ENEL!J128+ENEL!J113)/ENEL!J113</f>
        <v>0.69613007445453312</v>
      </c>
      <c r="K32" s="22">
        <f>(ENEL!K128+ENEL!K113)/ENEL!K113</f>
        <v>2.5800911319332238</v>
      </c>
      <c r="L32" s="22">
        <f>(ENEL!L128+ENEL!L113)/ENEL!L113</f>
        <v>1.8237721295337446</v>
      </c>
      <c r="M32" s="22">
        <f>(ENEL!M128+ENEL!M113)/ENEL!M113</f>
        <v>1.6579602065036072</v>
      </c>
      <c r="N32" s="22">
        <f>(ENEL!N128+ENEL!N113)/ENEL!N113</f>
        <v>5.0176065407463311</v>
      </c>
      <c r="O32" s="22">
        <f>(ENEL!O128+ENEL!O113)/ENEL!O113</f>
        <v>1.7847109478044534</v>
      </c>
      <c r="P32" s="22"/>
    </row>
    <row r="33" spans="1:16" x14ac:dyDescent="0.3">
      <c r="A33" s="28" t="s">
        <v>110</v>
      </c>
      <c r="B33" s="28"/>
      <c r="C33" s="28"/>
      <c r="D33" s="28"/>
      <c r="E33" s="28"/>
      <c r="F33" s="28"/>
      <c r="G33" s="28"/>
      <c r="H33" s="28"/>
      <c r="I33" s="28"/>
      <c r="J33" s="28"/>
      <c r="K33" s="28"/>
      <c r="L33" s="28"/>
      <c r="M33" s="28"/>
      <c r="N33" s="28"/>
      <c r="O33" s="28"/>
      <c r="P33" s="28"/>
    </row>
    <row r="34" spans="1:16" x14ac:dyDescent="0.3">
      <c r="B34">
        <v>2010</v>
      </c>
      <c r="C34">
        <v>2011</v>
      </c>
      <c r="D34">
        <v>2012</v>
      </c>
      <c r="E34">
        <v>2013</v>
      </c>
      <c r="F34">
        <v>2014</v>
      </c>
      <c r="G34">
        <v>2015</v>
      </c>
      <c r="H34">
        <v>2016</v>
      </c>
      <c r="I34">
        <v>2017</v>
      </c>
      <c r="J34">
        <v>2018</v>
      </c>
      <c r="K34">
        <v>2019</v>
      </c>
      <c r="L34">
        <v>2020</v>
      </c>
      <c r="M34">
        <v>2021</v>
      </c>
      <c r="N34">
        <v>2022</v>
      </c>
      <c r="O34">
        <v>2023</v>
      </c>
      <c r="P34">
        <v>2024</v>
      </c>
    </row>
    <row r="36" spans="1:16" x14ac:dyDescent="0.3">
      <c r="A36" s="16" t="s">
        <v>111</v>
      </c>
      <c r="B36" s="22">
        <f>(ENEL!B128+ENEL!B113+ENEL!B122+ENEL!B106-ENEL!B107)/(ENEL!B113+ENEL!B38)</f>
        <v>1.4284511083240869</v>
      </c>
      <c r="C36" s="22">
        <f>(ENEL!C128+ENEL!C113+ENEL!C122+ENEL!C106-ENEL!C107)/(ENEL!C113+ENEL!C38)</f>
        <v>1.5993464767465462</v>
      </c>
      <c r="D36" s="22">
        <f>(ENEL!D128+ENEL!D113+ENEL!D122+ENEL!D106-ENEL!D107)/(ENEL!D113+ENEL!D38)</f>
        <v>1.4804264544320185</v>
      </c>
      <c r="E36" s="22">
        <f>(ENEL!E128+ENEL!E113+ENEL!E122+ENEL!E106-ENEL!E107)/(ENEL!E113+ENEL!E38)</f>
        <v>1.0160561361277451</v>
      </c>
      <c r="F36" s="22">
        <f>(ENEL!F128+ENEL!F113+ENEL!F122+ENEL!F106-ENEL!F107)/(ENEL!F113+ENEL!F38)</f>
        <v>0.68221925198422517</v>
      </c>
      <c r="G36" s="22">
        <f>(ENEL!G128+ENEL!G113+ENEL!G122+ENEL!G106-ENEL!G107)/(ENEL!G113+ENEL!G38)</f>
        <v>0.64504753470229637</v>
      </c>
      <c r="H36" s="22">
        <f>(ENEL!H128+ENEL!H113+ENEL!H122+ENEL!H106-ENEL!H107)/(ENEL!H113+ENEL!H38)</f>
        <v>0.7608946635756586</v>
      </c>
      <c r="I36" s="22">
        <f>(ENEL!I128+ENEL!I113+ENEL!I122+ENEL!I106-ENEL!I107)/(ENEL!I113+ENEL!I38)</f>
        <v>0.75816400499211523</v>
      </c>
      <c r="J36" s="22">
        <f>(ENEL!J128+ENEL!J113+ENEL!J122+ENEL!J106-ENEL!J107)/(ENEL!J113+ENEL!J38)</f>
        <v>0.75317701394858039</v>
      </c>
      <c r="K36" s="22">
        <f>(ENEL!K128+ENEL!K113+ENEL!K122+ENEL!K106-ENEL!K107)/(ENEL!K113+ENEL!K38)</f>
        <v>1.0044205980558658</v>
      </c>
      <c r="L36" s="22">
        <f>(ENEL!L128+ENEL!L113+ENEL!L122+ENEL!L106-ENEL!L107)/(ENEL!L113+ENEL!L38)</f>
        <v>0.97205793611298641</v>
      </c>
      <c r="M36" s="22">
        <f>(ENEL!M128+ENEL!M113+ENEL!M122+ENEL!M106-ENEL!M107)/(ENEL!M113+ENEL!M38)</f>
        <v>0.92775907325993034</v>
      </c>
      <c r="N36" s="22">
        <f>(ENEL!N128+ENEL!N113+ENEL!N122+ENEL!N106-ENEL!N107)/(ENEL!N113+ENEL!N38)</f>
        <v>1.5807347057641243</v>
      </c>
      <c r="O36" s="22">
        <f>(ENEL!O128+ENEL!O113+ENEL!O122+ENEL!O106-ENEL!O107)/(ENEL!O113+ENEL!O38)</f>
        <v>0.95091404077472919</v>
      </c>
      <c r="P36" s="22">
        <f>(ENEL!P128+ENEL!P113+ENEL!P122+ENEL!P106-ENEL!P107)/(ENEL!P113+ENEL!P38)</f>
        <v>0.21322310021669574</v>
      </c>
    </row>
    <row r="44" spans="1:16" x14ac:dyDescent="0.3">
      <c r="L44" t="s">
        <v>123</v>
      </c>
    </row>
    <row r="51" spans="1:16" x14ac:dyDescent="0.3">
      <c r="A51" s="16"/>
      <c r="B51" s="17"/>
      <c r="C51" s="18"/>
      <c r="D51" s="18"/>
      <c r="E51" s="18"/>
      <c r="F51" s="16"/>
      <c r="G51" s="16"/>
      <c r="H51" s="16"/>
      <c r="I51" s="16"/>
      <c r="J51" s="16"/>
      <c r="K51" s="16"/>
      <c r="L51" s="16"/>
      <c r="M51" s="16"/>
      <c r="N51" s="16"/>
      <c r="O51" s="16"/>
      <c r="P51" s="16"/>
    </row>
    <row r="56" spans="1:16" x14ac:dyDescent="0.3">
      <c r="A56" s="28" t="s">
        <v>115</v>
      </c>
      <c r="B56" s="28"/>
      <c r="C56" s="28"/>
      <c r="D56" s="28"/>
      <c r="E56" s="28"/>
      <c r="F56" s="28"/>
      <c r="G56" s="28"/>
      <c r="H56" s="28"/>
      <c r="I56" s="28"/>
      <c r="J56" s="28"/>
      <c r="K56" s="28"/>
      <c r="L56" s="28"/>
      <c r="M56" s="28"/>
      <c r="N56" s="28"/>
      <c r="O56" s="28"/>
      <c r="P56" s="28"/>
    </row>
    <row r="57" spans="1:16" x14ac:dyDescent="0.3">
      <c r="A57" s="23"/>
      <c r="B57">
        <v>2010</v>
      </c>
      <c r="C57">
        <v>2011</v>
      </c>
      <c r="D57">
        <v>2012</v>
      </c>
      <c r="E57">
        <v>2013</v>
      </c>
      <c r="F57">
        <v>2014</v>
      </c>
      <c r="G57">
        <v>2015</v>
      </c>
      <c r="H57">
        <v>2016</v>
      </c>
      <c r="I57">
        <v>2017</v>
      </c>
      <c r="J57">
        <v>2018</v>
      </c>
      <c r="K57">
        <v>2019</v>
      </c>
      <c r="L57">
        <v>2020</v>
      </c>
      <c r="M57">
        <v>2021</v>
      </c>
      <c r="N57">
        <v>2022</v>
      </c>
      <c r="O57">
        <v>2023</v>
      </c>
      <c r="P57">
        <v>2024</v>
      </c>
    </row>
    <row r="60" spans="1:16" s="23" customFormat="1" x14ac:dyDescent="0.3"/>
    <row r="62" spans="1:16" x14ac:dyDescent="0.3">
      <c r="A62" s="16"/>
      <c r="B62" s="16"/>
      <c r="C62" s="16"/>
      <c r="D62" s="16"/>
      <c r="E62" s="16"/>
      <c r="F62" s="16"/>
      <c r="G62" s="16"/>
      <c r="H62" s="16"/>
      <c r="I62" s="16"/>
      <c r="J62" s="16"/>
      <c r="K62" s="16"/>
      <c r="L62" s="16"/>
      <c r="M62" s="16"/>
      <c r="N62" s="16"/>
      <c r="O62" s="16"/>
      <c r="P62" s="16"/>
    </row>
    <row r="67" spans="12:13" x14ac:dyDescent="0.3">
      <c r="L67" t="s">
        <v>122</v>
      </c>
      <c r="M67" t="s">
        <v>144</v>
      </c>
    </row>
    <row r="68" spans="12:13" x14ac:dyDescent="0.3">
      <c r="L68" t="s">
        <v>147</v>
      </c>
    </row>
    <row r="81" spans="1:16" x14ac:dyDescent="0.3">
      <c r="A81" s="28" t="s">
        <v>112</v>
      </c>
      <c r="B81" s="28"/>
      <c r="C81" s="28"/>
      <c r="D81" s="28"/>
      <c r="E81" s="28"/>
      <c r="F81" s="28"/>
      <c r="G81" s="28"/>
      <c r="H81" s="28"/>
      <c r="I81" s="28"/>
      <c r="J81" s="28"/>
      <c r="K81" s="28"/>
      <c r="L81" s="28"/>
      <c r="M81" s="28"/>
      <c r="N81" s="28"/>
      <c r="O81" s="28"/>
      <c r="P81" s="28"/>
    </row>
    <row r="82" spans="1:16" s="23" customFormat="1" x14ac:dyDescent="0.3">
      <c r="A82" s="23" t="s">
        <v>148</v>
      </c>
      <c r="B82">
        <v>2010</v>
      </c>
      <c r="C82">
        <v>2011</v>
      </c>
      <c r="D82">
        <v>2012</v>
      </c>
      <c r="E82">
        <v>2013</v>
      </c>
      <c r="F82">
        <v>2014</v>
      </c>
      <c r="G82">
        <v>2015</v>
      </c>
      <c r="H82">
        <v>2016</v>
      </c>
      <c r="I82">
        <v>2017</v>
      </c>
      <c r="J82">
        <v>2018</v>
      </c>
      <c r="K82">
        <v>2019</v>
      </c>
      <c r="L82">
        <v>2020</v>
      </c>
      <c r="M82">
        <v>2021</v>
      </c>
      <c r="N82">
        <v>2022</v>
      </c>
      <c r="O82">
        <v>2023</v>
      </c>
      <c r="P82"/>
    </row>
    <row r="83" spans="1:16" x14ac:dyDescent="0.3">
      <c r="A83" s="16" t="s">
        <v>114</v>
      </c>
      <c r="B83" s="17">
        <f>ENEL!B100/ENEL!B3</f>
        <v>0.72759950995429523</v>
      </c>
      <c r="C83" s="17">
        <f>ENEL!C100/ENEL!C3</f>
        <v>0.78997893938060015</v>
      </c>
      <c r="D83" s="17">
        <f>ENEL!D100/ENEL!D3</f>
        <v>0.84359906271457219</v>
      </c>
      <c r="E83" s="17">
        <f>ENEL!E100/ENEL!E3</f>
        <v>0.72149383302376557</v>
      </c>
      <c r="F83" s="17">
        <f>ENEL!F100/ENEL!F3</f>
        <v>0.54129714518182237</v>
      </c>
      <c r="G83" s="17">
        <f>ENEL!G100/ENEL!G3</f>
        <v>0.54693171803871432</v>
      </c>
      <c r="H83" s="17">
        <f>ENEL!H100/ENEL!H3</f>
        <v>0.53662678284012388</v>
      </c>
      <c r="I83" s="17">
        <f>ENEL!I100/ENEL!I3</f>
        <v>0.55059480843149922</v>
      </c>
      <c r="J83" s="17">
        <f>ENEL!J100/ENEL!J3</f>
        <v>0.48261109733261004</v>
      </c>
      <c r="K83" s="17">
        <f>ENEL!K100/ENEL!K3</f>
        <v>0.3827825586696606</v>
      </c>
      <c r="L83" s="17">
        <f>ENEL!L100/ENEL!L3</f>
        <v>0.4280797743129634</v>
      </c>
      <c r="M83" s="17">
        <f>ENEL!M100/ENEL!M3</f>
        <v>0.44797312163792768</v>
      </c>
      <c r="N83" s="17">
        <f>ENEL!N100/ENEL!N3</f>
        <v>0.45407070530811866</v>
      </c>
      <c r="O83" s="17">
        <f>ENEL!O100/ENEL!O3</f>
        <v>0.43408104298296907</v>
      </c>
      <c r="P83" s="17"/>
    </row>
    <row r="84" spans="1:16" x14ac:dyDescent="0.3">
      <c r="A84" s="16" t="s">
        <v>116</v>
      </c>
      <c r="B84" s="21">
        <f>(ENEL!B100-ENEL!B105-ENEL!B108)/ENEL!B100</f>
        <v>0.43195255523944803</v>
      </c>
      <c r="C84" s="21">
        <f>(ENEL!C100-ENEL!C105-ENEL!C108)/ENEL!C100</f>
        <v>0.43606978327102791</v>
      </c>
      <c r="D84" s="21">
        <f>(ENEL!D100-ENEL!D105-ENEL!D108)/ENEL!D100</f>
        <v>0.39970055094185658</v>
      </c>
      <c r="E84" s="21">
        <f>(ENEL!E100-ENEL!E105-ENEL!E108)/ENEL!E100</f>
        <v>0.30700560802159693</v>
      </c>
      <c r="F84" s="21">
        <f>(ENEL!F100-ENEL!F105-ENEL!F108)/ENEL!F100</f>
        <v>0.24151308765858576</v>
      </c>
      <c r="G84" s="21">
        <f>(ENEL!G100-ENEL!G105-ENEL!G108)/ENEL!G100</f>
        <v>0.2241461434704613</v>
      </c>
      <c r="H84" s="21">
        <f>(ENEL!H100-ENEL!H105-ENEL!H108)/ENEL!H100</f>
        <v>0.2426925416764722</v>
      </c>
      <c r="I84" s="21">
        <f>(ENEL!I100-ENEL!I105-ENEL!I108)/ENEL!I100</f>
        <v>0.24355417109116143</v>
      </c>
      <c r="J84" s="21">
        <f>(ENEL!J100-ENEL!J105-ENEL!J108)/ENEL!J100</f>
        <v>0.25155990989847521</v>
      </c>
      <c r="K84" s="21">
        <f>(ENEL!K100-ENEL!K105-ENEL!K108)/ENEL!K100</f>
        <v>0.31228619720892059</v>
      </c>
      <c r="L84" s="21">
        <f>(ENEL!L100-ENEL!L105-ENEL!L108)/ENEL!L100</f>
        <v>0.33677422049253519</v>
      </c>
      <c r="M84" s="21">
        <f>(ENEL!M100-ENEL!M105-ENEL!M108)/ENEL!M100</f>
        <v>0.34069576511740646</v>
      </c>
      <c r="N84" s="21">
        <f>(ENEL!N100-ENEL!N105-ENEL!N108)/ENEL!N100</f>
        <v>0.30904239791743804</v>
      </c>
      <c r="O84" s="21">
        <f>(ENEL!O100-ENEL!O105-ENEL!O108)/ENEL!O100</f>
        <v>0.3138416883383528</v>
      </c>
      <c r="P84" s="21"/>
    </row>
    <row r="85" spans="1:16" x14ac:dyDescent="0.3">
      <c r="A85" s="16" t="s">
        <v>117</v>
      </c>
      <c r="B85" s="21">
        <f>ENEL!B128/ENEL!B100</f>
        <v>0.15962715451120688</v>
      </c>
      <c r="C85" s="21">
        <f>ENEL!C128/ENEL!C100</f>
        <v>0.1468694472926502</v>
      </c>
      <c r="D85" s="21">
        <f>ENEL!D128/ENEL!D100</f>
        <v>0.11697942744495508</v>
      </c>
      <c r="E85" s="21">
        <f>ENEL!E128/ENEL!E100</f>
        <v>9.0252680385289885E-2</v>
      </c>
      <c r="F85" s="21">
        <f>ENEL!F128/ENEL!F100</f>
        <v>3.436476772768176E-2</v>
      </c>
      <c r="G85" s="21">
        <f>ENEL!G128/ENEL!G100</f>
        <v>-6.174992606785061E-4</v>
      </c>
      <c r="H85" s="21">
        <f>ENEL!H128/ENEL!H100</f>
        <v>1.8288886644770505E-2</v>
      </c>
      <c r="I85" s="21">
        <f>ENEL!I128/ENEL!I100</f>
        <v>2.2340684708147273E-2</v>
      </c>
      <c r="J85" s="21">
        <f>ENEL!J128/ENEL!J100</f>
        <v>-1.2342885968190116E-2</v>
      </c>
      <c r="K85" s="21">
        <f>ENEL!K128/ENEL!K100</f>
        <v>7.790212762878844E-2</v>
      </c>
      <c r="L85" s="21">
        <f>ENEL!L128/ENEL!L100</f>
        <v>4.036340564170967E-2</v>
      </c>
      <c r="M85" s="21">
        <f>ENEL!M128/ENEL!M100</f>
        <v>3.0889367283150674E-2</v>
      </c>
      <c r="N85" s="21">
        <f>ENEL!N128/ENEL!N100</f>
        <v>0.17978919418902817</v>
      </c>
      <c r="O85" s="21">
        <f>ENEL!O128/ENEL!O100</f>
        <v>3.5931860094596813E-2</v>
      </c>
      <c r="P85" s="21"/>
    </row>
    <row r="86" spans="1:16" x14ac:dyDescent="0.3">
      <c r="A86" s="16" t="s">
        <v>113</v>
      </c>
      <c r="B86" s="21">
        <f>B85*B83</f>
        <v>0.11614463939775269</v>
      </c>
      <c r="C86" s="21">
        <f>C85*C83</f>
        <v>0.11602377019966276</v>
      </c>
      <c r="D86" s="21">
        <f>D85*D83</f>
        <v>9.8683735349451407E-2</v>
      </c>
      <c r="E86" s="21">
        <f>E85*E83</f>
        <v>6.5116752311851628E-2</v>
      </c>
      <c r="F86" s="21">
        <f>F85*F83</f>
        <v>1.8601550665830559E-2</v>
      </c>
      <c r="G86" s="21">
        <f>G85*G83</f>
        <v>-3.3772993153053125E-4</v>
      </c>
      <c r="H86" s="21">
        <f>H85*H83</f>
        <v>9.8143064019109039E-3</v>
      </c>
      <c r="I86" s="21">
        <f>I85*I83</f>
        <v>1.2300665017110872E-2</v>
      </c>
      <c r="J86" s="21">
        <f>J85*J83</f>
        <v>-5.9568137413595068E-3</v>
      </c>
      <c r="K86" s="21">
        <f>K85*K83</f>
        <v>2.98195757395581E-2</v>
      </c>
      <c r="L86" s="21">
        <f>L85*L83</f>
        <v>1.727875757760567E-2</v>
      </c>
      <c r="M86" s="21">
        <f>M85*M83</f>
        <v>1.383760628725348E-2</v>
      </c>
      <c r="N86" s="21">
        <f>N85*N83</f>
        <v>8.1637006212190333E-2</v>
      </c>
      <c r="O86" s="21">
        <f>O85*O83</f>
        <v>1.5597339306180709E-2</v>
      </c>
      <c r="P86" s="21"/>
    </row>
    <row r="87" spans="1:16" x14ac:dyDescent="0.3">
      <c r="A87" s="16" t="s">
        <v>118</v>
      </c>
      <c r="B87" s="21">
        <f>(ENEL!B121+ENEL!B113)/ENEL!B3</f>
        <v>0.13930961410920187</v>
      </c>
      <c r="C87" s="21">
        <f>(ENEL!C121+ENEL!C113)/ENEL!C3</f>
        <v>0.14739416790583076</v>
      </c>
      <c r="D87" s="21">
        <f>(ENEL!D121+ENEL!D113)/ENEL!D3</f>
        <v>0.12525372308177046</v>
      </c>
      <c r="E87" s="21">
        <f>(ENEL!E121+ENEL!E113)/ENEL!E3</f>
        <v>8.7620537971705659E-2</v>
      </c>
      <c r="F87" s="21">
        <f>(ENEL!F121+ENEL!F113)/ENEL!F3</f>
        <v>3.4162151341791201E-2</v>
      </c>
      <c r="G87" s="21">
        <f>(ENEL!G121+ENEL!G113)/ENEL!G3</f>
        <v>1.7498243912969301E-2</v>
      </c>
      <c r="H87" s="21">
        <f>(ENEL!H121+ENEL!H113)/ENEL!H3</f>
        <v>2.5388180468817766E-2</v>
      </c>
      <c r="I87" s="21">
        <f>(ENEL!I121+ENEL!I113)/ENEL!I3</f>
        <v>3.004694953921682E-2</v>
      </c>
      <c r="J87" s="21">
        <f>(ENEL!J121+ENEL!J113)/ENEL!J3</f>
        <v>1.9030300789131892E-2</v>
      </c>
      <c r="K87" s="21">
        <f>(ENEL!K121+ENEL!K113)/ENEL!K3</f>
        <v>6.5338862953485871E-2</v>
      </c>
      <c r="L87" s="21">
        <f>(ENEL!L121+ENEL!L113)/ENEL!L3</f>
        <v>4.019478848819226E-2</v>
      </c>
      <c r="M87" s="21">
        <f>(ENEL!M121+ENEL!M113)/ENEL!M3</f>
        <v>4.2925745647598601E-2</v>
      </c>
      <c r="N87" s="21">
        <f>(ENEL!N121+ENEL!N113)/ENEL!N3</f>
        <v>0.11678415878691939</v>
      </c>
      <c r="O87" s="21">
        <f>(ENEL!O121+ENEL!O113)/ENEL!O3</f>
        <v>4.1038365744653096E-2</v>
      </c>
      <c r="P87" s="21"/>
    </row>
    <row r="88" spans="1:16" x14ac:dyDescent="0.3">
      <c r="A88" s="16" t="s">
        <v>119</v>
      </c>
      <c r="B88" s="21">
        <f>(ENEL!B121+ENEL!B113+ENEL!B106)/ENEL!B3</f>
        <v>0.29589560746481475</v>
      </c>
      <c r="C88" s="21">
        <f>(ENEL!C121+ENEL!C113+ENEL!C106)/ENEL!C3</f>
        <v>0.32056249178545576</v>
      </c>
      <c r="D88" s="21">
        <f>(ENEL!D121+ENEL!D113+ENEL!D106)/ENEL!D3</f>
        <v>0.30815833713956947</v>
      </c>
      <c r="E88" s="21">
        <f>(ENEL!E121+ENEL!E113+ENEL!E106)/ENEL!E3</f>
        <v>0.19624764234586289</v>
      </c>
      <c r="F88" s="21">
        <f>(ENEL!F121+ENEL!F113+ENEL!F106)/ENEL!F3</f>
        <v>0.11309872057277109</v>
      </c>
      <c r="G88" s="21">
        <f>(ENEL!G121+ENEL!G113+ENEL!G106)/ENEL!G3</f>
        <v>0.10135646880949736</v>
      </c>
      <c r="H88" s="21">
        <f>(ENEL!H121+ENEL!H113+ENEL!H106)/ENEL!H3</f>
        <v>0.11146475530179402</v>
      </c>
      <c r="I88" s="21">
        <f>(ENEL!I121+ENEL!I113+ENEL!I106)/ENEL!I3</f>
        <v>0.11955220777250132</v>
      </c>
      <c r="J88" s="21">
        <f>(ENEL!J121+ENEL!J113+ENEL!J106)/ENEL!J3</f>
        <v>0.10267001390601323</v>
      </c>
      <c r="K88" s="21">
        <f>(ENEL!K121+ENEL!K113+ENEL!K106)/ENEL!K3</f>
        <v>0.14709764834718136</v>
      </c>
      <c r="L88" s="21">
        <f>(ENEL!L121+ENEL!L113+ENEL!L106)/ENEL!L3</f>
        <v>0.1358153276883699</v>
      </c>
      <c r="M88" s="21">
        <f>(ENEL!M121+ENEL!M113+ENEL!M106)/ENEL!M3</f>
        <v>0.1290945358607534</v>
      </c>
      <c r="N88" s="21">
        <f>(ENEL!N121+ENEL!N113+ENEL!N106)/ENEL!N3</f>
        <v>0.20936444271525115</v>
      </c>
      <c r="O88" s="21">
        <f>(ENEL!O121+ENEL!O113+ENEL!O106)/ENEL!O3</f>
        <v>0.12950476653614396</v>
      </c>
      <c r="P88" s="21"/>
    </row>
    <row r="89" spans="1:16" x14ac:dyDescent="0.3">
      <c r="A89" s="16" t="s">
        <v>120</v>
      </c>
      <c r="B89" s="21">
        <f>B86/(1-B28)</f>
        <v>0.23978003586910707</v>
      </c>
      <c r="C89" s="21">
        <f>C86/(1-C28)</f>
        <v>0.2338274683138942</v>
      </c>
      <c r="D89" s="21">
        <f>D86/(1-D28)</f>
        <v>0.20551938059965488</v>
      </c>
      <c r="E89" s="21">
        <f>E86/(1-E28)</f>
        <v>0.16680029204715471</v>
      </c>
      <c r="F89" s="21">
        <f>F86/(1-F28)</f>
        <v>5.9048262027469336E-2</v>
      </c>
      <c r="G89" s="21">
        <f>G86/(1-G28)</f>
        <v>-1.1535045783579677E-3</v>
      </c>
      <c r="H89" s="21">
        <f>H86/(1-H28)</f>
        <v>2.7069369905661507E-2</v>
      </c>
      <c r="I89" s="21">
        <f>I86/(1-I28)</f>
        <v>3.5054306122228637E-2</v>
      </c>
      <c r="J89" s="21">
        <f>J86/(1-J28)</f>
        <v>-1.7281698228442263E-2</v>
      </c>
      <c r="K89" s="21">
        <f>K86/(1-K28)</f>
        <v>9.5825548160430166E-2</v>
      </c>
      <c r="L89" s="21">
        <f>L86/(1-L28)</f>
        <v>5.5993890639386874E-2</v>
      </c>
      <c r="M89" s="21">
        <f>M86/(1-M28)</f>
        <v>4.988226745919639E-2</v>
      </c>
      <c r="N89" s="21">
        <f>N86/(1-N28)</f>
        <v>0.293845414149081</v>
      </c>
      <c r="O89" s="21">
        <f>O86/(1-O28)</f>
        <v>5.3050946891400649E-2</v>
      </c>
      <c r="P89" s="21"/>
    </row>
    <row r="96" spans="1:16" x14ac:dyDescent="0.3">
      <c r="O96" t="s">
        <v>145</v>
      </c>
    </row>
    <row r="97" spans="1:15" x14ac:dyDescent="0.3">
      <c r="O97" t="s">
        <v>146</v>
      </c>
    </row>
    <row r="100" spans="1:15" x14ac:dyDescent="0.3">
      <c r="O100" t="s">
        <v>149</v>
      </c>
    </row>
    <row r="101" spans="1:15" x14ac:dyDescent="0.3">
      <c r="O101" t="s">
        <v>150</v>
      </c>
    </row>
    <row r="107" spans="1:15" x14ac:dyDescent="0.3">
      <c r="C107" t="s">
        <v>124</v>
      </c>
      <c r="I107" t="s">
        <v>125</v>
      </c>
    </row>
    <row r="108" spans="1:15" x14ac:dyDescent="0.3">
      <c r="C108" t="s">
        <v>129</v>
      </c>
      <c r="I108" t="s">
        <v>128</v>
      </c>
    </row>
    <row r="111" spans="1:15" x14ac:dyDescent="0.3">
      <c r="A111" t="s">
        <v>156</v>
      </c>
      <c r="B111">
        <f>(ENEL!B110+IF(ENEL!B109&lt;0, -ENEL!B109, ENEL!B109) -ENEL!B107 +ENEL!B106)/ENEL!B100</f>
        <v>0.43630304078670651</v>
      </c>
      <c r="C111">
        <f>(ENEL!C110+IF(ENEL!C109&lt;0, -ENEL!C109, ENEL!C109) -ENEL!C107 +ENEL!C106)/ENEL!C100</f>
        <v>0.44547257693050413</v>
      </c>
      <c r="D111">
        <f>(ENEL!D110+IF(ENEL!D109&lt;0, -ENEL!D109, ENEL!D109) -ENEL!D107 +ENEL!D106)/ENEL!D100</f>
        <v>0.4073819448211331</v>
      </c>
      <c r="E111">
        <f>(ENEL!E110+IF(ENEL!E109&lt;0, -ENEL!E109, ENEL!E109) -ENEL!E107 +ENEL!E106)/ENEL!E100</f>
        <v>0.31805197229370014</v>
      </c>
      <c r="F111">
        <f>(ENEL!F110+IF(ENEL!F109&lt;0, -ENEL!F109, ENEL!F109) -ENEL!F107 +ENEL!F106)/ENEL!F100</f>
        <v>0.26023549417674346</v>
      </c>
      <c r="G111">
        <f>(ENEL!G110+IF(ENEL!G109&lt;0, -ENEL!G109, ENEL!G109) -ENEL!G107 +ENEL!G106)/ENEL!G100</f>
        <v>0.22878845895536493</v>
      </c>
      <c r="H111">
        <f>(ENEL!H110+IF(ENEL!H109&lt;0, -ENEL!H109, ENEL!H109) -ENEL!H107 +ENEL!H106)/ENEL!H100</f>
        <v>0.25339838060569425</v>
      </c>
      <c r="I111">
        <f>(ENEL!I110+IF(ENEL!I109&lt;0, -ENEL!I109, ENEL!I109) -ENEL!I107 +ENEL!I106)/ENEL!I100</f>
        <v>0.24984522311878765</v>
      </c>
      <c r="J111">
        <f>(ENEL!J110+IF(ENEL!J109&lt;0, -ENEL!J109, ENEL!J109) -ENEL!J107 +ENEL!J106)/ENEL!J100</f>
        <v>0.25672114747777064</v>
      </c>
      <c r="K111">
        <f>(ENEL!K110+IF(ENEL!K109&lt;0, -ENEL!K109, ENEL!K109) -ENEL!K107 +ENEL!K106)/ENEL!K100</f>
        <v>0.52758235293602773</v>
      </c>
      <c r="L111">
        <f>(ENEL!L110+IF(ENEL!L109&lt;0, -ENEL!L109, ENEL!L109) -ENEL!L107 +ENEL!L106)/ENEL!L100</f>
        <v>0.38285255646837535</v>
      </c>
      <c r="M111">
        <f>(ENEL!M110+IF(ENEL!M109&lt;0, -ENEL!M109, ENEL!M109) -ENEL!M107 +ENEL!M106)/ENEL!M100</f>
        <v>0.36282322739836181</v>
      </c>
      <c r="N111">
        <f>(ENEL!N110+IF(ENEL!N109&lt;0, -ENEL!N109, ENEL!N109) -ENEL!N107 +ENEL!N106)/ENEL!N100</f>
        <v>0.75852416882323381</v>
      </c>
      <c r="O111">
        <f>(ENEL!O110+IF(ENEL!O109&lt;0, -ENEL!O109, ENEL!O109) -ENEL!O107 +ENEL!O106)/ENEL!O100</f>
        <v>0.37479267581181103</v>
      </c>
    </row>
    <row r="114" spans="1:16" x14ac:dyDescent="0.3">
      <c r="A114" s="27" t="s">
        <v>131</v>
      </c>
      <c r="B114" s="27"/>
      <c r="C114" s="27"/>
      <c r="D114" s="27"/>
      <c r="E114" s="27"/>
      <c r="F114" s="27"/>
      <c r="G114" s="27"/>
      <c r="H114" s="27"/>
      <c r="I114" s="27"/>
      <c r="J114" s="27"/>
      <c r="K114" s="27"/>
      <c r="L114" s="27"/>
      <c r="M114" s="27"/>
      <c r="N114" s="27"/>
      <c r="O114" s="27"/>
      <c r="P114" s="27"/>
    </row>
    <row r="115" spans="1:16" x14ac:dyDescent="0.3">
      <c r="A115" s="16" t="s">
        <v>126</v>
      </c>
      <c r="B115" s="24">
        <f>ENEL!B128</f>
        <v>172971209</v>
      </c>
      <c r="C115" s="24">
        <f>ENEL!C128</f>
        <v>180766659</v>
      </c>
      <c r="D115" s="24">
        <f>ENEL!D128</f>
        <v>167294116</v>
      </c>
      <c r="E115" s="24">
        <f>ENEL!E128</f>
        <v>146965254</v>
      </c>
      <c r="F115" s="24">
        <f>ENEL!F128</f>
        <v>56470502</v>
      </c>
      <c r="G115" s="24">
        <f>ENEL!G128</f>
        <v>-1101997</v>
      </c>
      <c r="H115" s="24">
        <f>ENEL!H128</f>
        <v>34158100</v>
      </c>
      <c r="I115" s="24">
        <f>ENEL!I128</f>
        <v>43409541</v>
      </c>
      <c r="J115" s="24">
        <f>ENEL!J128</f>
        <v>-23614092</v>
      </c>
      <c r="K115" s="24">
        <f>ENEL!K128</f>
        <v>154152106</v>
      </c>
      <c r="L115" s="24">
        <f>ENEL!L128</f>
        <v>84466248</v>
      </c>
      <c r="M115" s="24">
        <f>ENEL!M128</f>
        <v>74975311</v>
      </c>
      <c r="N115" s="24">
        <f>ENEL!N128</f>
        <v>456787332</v>
      </c>
      <c r="O115" s="24">
        <f>ENEL!O128</f>
        <v>88884366</v>
      </c>
      <c r="P115" s="24">
        <f>ENEL!P128</f>
        <v>-20431517</v>
      </c>
    </row>
    <row r="116" spans="1:16" x14ac:dyDescent="0.3">
      <c r="A116" s="16" t="s">
        <v>121</v>
      </c>
      <c r="B116" s="20">
        <f>ENEL!B128-ENEL!B113-ENEL!B109</f>
        <v>164563515</v>
      </c>
      <c r="C116" s="20">
        <f>ENEL!C128-ENEL!C113-ENEL!C109</f>
        <v>171907944</v>
      </c>
      <c r="D116" s="20">
        <f>ENEL!D128-ENEL!D113-ENEL!D109</f>
        <v>153716083</v>
      </c>
      <c r="E116" s="20">
        <f>ENEL!E128-ENEL!E113-ENEL!E109</f>
        <v>123693559</v>
      </c>
      <c r="F116" s="20">
        <f>ENEL!F128-ENEL!F113-ENEL!F109</f>
        <v>-4763869</v>
      </c>
      <c r="G116" s="20">
        <f>ENEL!G128-ENEL!G113-ENEL!G109</f>
        <v>-72046891</v>
      </c>
      <c r="H116" s="20">
        <f>ENEL!H128-ENEL!H113-ENEL!H109</f>
        <v>-48454399</v>
      </c>
      <c r="I116" s="20">
        <f>ENEL!I128-ENEL!I113-ENEL!I109</f>
        <v>-36750996</v>
      </c>
      <c r="J116" s="20">
        <f>ENEL!J128-ENEL!J113-ENEL!J109</f>
        <v>-101236277</v>
      </c>
      <c r="K116" s="20">
        <f>ENEL!K128-ENEL!K113-ENEL!K109</f>
        <v>-150682344</v>
      </c>
      <c r="L116" s="20">
        <f>ENEL!L128-ENEL!L113-ENEL!L109</f>
        <v>-59655058</v>
      </c>
      <c r="M116" s="20">
        <f>ENEL!M128-ENEL!M113-ENEL!M109</f>
        <v>-59785333</v>
      </c>
      <c r="N116" s="20">
        <f>ENEL!N128-ENEL!N113-ENEL!N109</f>
        <v>-201873034</v>
      </c>
      <c r="O116" s="20">
        <f>ENEL!O128-ENEL!O113-ENEL!O109</f>
        <v>-75710210</v>
      </c>
      <c r="P116" s="20">
        <f>ENEL!P128-ENEL!P113-ENEL!P109</f>
        <v>-47815460</v>
      </c>
    </row>
    <row r="118" spans="1:16" x14ac:dyDescent="0.3">
      <c r="B118">
        <v>2010</v>
      </c>
      <c r="C118">
        <v>2011</v>
      </c>
      <c r="D118">
        <v>2012</v>
      </c>
      <c r="E118">
        <v>2013</v>
      </c>
      <c r="F118">
        <v>2014</v>
      </c>
      <c r="G118">
        <v>2015</v>
      </c>
      <c r="H118">
        <v>2016</v>
      </c>
      <c r="I118">
        <v>2017</v>
      </c>
      <c r="J118">
        <v>2018</v>
      </c>
      <c r="K118">
        <v>2019</v>
      </c>
      <c r="L118">
        <v>2020</v>
      </c>
      <c r="M118">
        <v>2021</v>
      </c>
      <c r="N118">
        <v>2022</v>
      </c>
      <c r="O118">
        <v>2023</v>
      </c>
      <c r="P118">
        <v>2024</v>
      </c>
    </row>
    <row r="119" spans="1:16" x14ac:dyDescent="0.3">
      <c r="A119" t="s">
        <v>130</v>
      </c>
      <c r="B119">
        <v>0.749</v>
      </c>
      <c r="C119">
        <v>0.67500000000000004</v>
      </c>
      <c r="D119">
        <v>0.65</v>
      </c>
      <c r="E119">
        <v>0.60199999999999998</v>
      </c>
      <c r="F119">
        <v>0.53100000000000003</v>
      </c>
      <c r="G119">
        <v>0.46700000000000003</v>
      </c>
      <c r="H119">
        <v>0.42799999999999999</v>
      </c>
      <c r="I119">
        <v>0.39600000000000002</v>
      </c>
      <c r="J119">
        <v>0.36199999999999999</v>
      </c>
      <c r="K119">
        <v>0.32200000000000001</v>
      </c>
      <c r="L119">
        <v>0.28399999999999997</v>
      </c>
      <c r="M119">
        <v>0.19800000000000001</v>
      </c>
      <c r="N119">
        <v>6.2E-2</v>
      </c>
      <c r="O119">
        <v>2.1999999999999999E-2</v>
      </c>
      <c r="P119">
        <v>5.0000000000000001E-3</v>
      </c>
    </row>
    <row r="121" spans="1:16" x14ac:dyDescent="0.3">
      <c r="A121" s="27" t="s">
        <v>132</v>
      </c>
      <c r="B121" s="27"/>
      <c r="C121" s="27"/>
      <c r="D121" s="27"/>
      <c r="E121" s="27"/>
      <c r="F121" s="27"/>
      <c r="G121" s="27"/>
      <c r="H121" s="27"/>
      <c r="I121" s="27"/>
      <c r="J121" s="27"/>
      <c r="K121" s="27"/>
      <c r="L121" s="27"/>
      <c r="M121" s="27"/>
      <c r="N121" s="27"/>
      <c r="O121" s="27"/>
      <c r="P121" s="27"/>
    </row>
    <row r="122" spans="1:16" x14ac:dyDescent="0.3">
      <c r="A122" s="16" t="s">
        <v>126</v>
      </c>
      <c r="B122" s="25">
        <f>B115*(1+B119)</f>
        <v>302526644.54100001</v>
      </c>
      <c r="C122" s="25">
        <f t="shared" ref="C122:P122" si="0">C115*(1+C119)</f>
        <v>302784153.82499999</v>
      </c>
      <c r="D122" s="25">
        <f t="shared" si="0"/>
        <v>276035291.39999998</v>
      </c>
      <c r="E122" s="25">
        <f t="shared" si="0"/>
        <v>235438336.90799999</v>
      </c>
      <c r="F122" s="25">
        <f t="shared" si="0"/>
        <v>86456338.562000006</v>
      </c>
      <c r="G122" s="25">
        <f t="shared" si="0"/>
        <v>-1616629.5990000002</v>
      </c>
      <c r="H122" s="25">
        <f t="shared" si="0"/>
        <v>48777766.799999997</v>
      </c>
      <c r="I122" s="25">
        <f t="shared" si="0"/>
        <v>60599719.235999994</v>
      </c>
      <c r="J122" s="25">
        <f t="shared" si="0"/>
        <v>-32162393.304000001</v>
      </c>
      <c r="K122" s="25">
        <f t="shared" si="0"/>
        <v>203789084.132</v>
      </c>
      <c r="L122" s="25">
        <f t="shared" si="0"/>
        <v>108454662.432</v>
      </c>
      <c r="M122" s="25">
        <f t="shared" si="0"/>
        <v>89820422.577999994</v>
      </c>
      <c r="N122" s="25">
        <f t="shared" si="0"/>
        <v>485108146.58400005</v>
      </c>
      <c r="O122" s="25">
        <f t="shared" si="0"/>
        <v>90839822.052000001</v>
      </c>
      <c r="P122" s="25">
        <f t="shared" si="0"/>
        <v>-20533674.584999997</v>
      </c>
    </row>
    <row r="123" spans="1:16" x14ac:dyDescent="0.3">
      <c r="A123" s="16" t="s">
        <v>121</v>
      </c>
      <c r="B123" s="26">
        <f>B116*(1+B119)</f>
        <v>287821587.73500001</v>
      </c>
      <c r="C123" s="26">
        <f t="shared" ref="C123:P123" si="1">C116*(1+C119)</f>
        <v>287945806.19999999</v>
      </c>
      <c r="D123" s="26">
        <f t="shared" si="1"/>
        <v>253631536.94999999</v>
      </c>
      <c r="E123" s="26">
        <f t="shared" si="1"/>
        <v>198157081.51799998</v>
      </c>
      <c r="F123" s="26">
        <f t="shared" si="1"/>
        <v>-7293483.4390000002</v>
      </c>
      <c r="G123" s="26">
        <f t="shared" si="1"/>
        <v>-105692789.097</v>
      </c>
      <c r="H123" s="26">
        <f t="shared" si="1"/>
        <v>-69192881.772</v>
      </c>
      <c r="I123" s="26">
        <f t="shared" si="1"/>
        <v>-51304390.415999994</v>
      </c>
      <c r="J123" s="26">
        <f t="shared" si="1"/>
        <v>-137883809.27400002</v>
      </c>
      <c r="K123" s="26">
        <f t="shared" si="1"/>
        <v>-199202058.76800001</v>
      </c>
      <c r="L123" s="26">
        <f t="shared" si="1"/>
        <v>-76597094.472000003</v>
      </c>
      <c r="M123" s="26">
        <f t="shared" si="1"/>
        <v>-71622828.934</v>
      </c>
      <c r="N123" s="26">
        <f t="shared" si="1"/>
        <v>-214389162.10800001</v>
      </c>
      <c r="O123" s="26">
        <f t="shared" si="1"/>
        <v>-77375834.620000005</v>
      </c>
      <c r="P123" s="26">
        <f t="shared" si="1"/>
        <v>-48054537.299999997</v>
      </c>
    </row>
    <row r="145" spans="1:16" x14ac:dyDescent="0.3">
      <c r="A145" s="27" t="s">
        <v>133</v>
      </c>
      <c r="B145" s="27"/>
      <c r="C145" s="27"/>
      <c r="D145" s="27"/>
      <c r="E145" s="27"/>
      <c r="F145" s="27"/>
      <c r="G145" s="27"/>
      <c r="H145" s="27"/>
      <c r="I145" s="27"/>
      <c r="J145" s="27"/>
      <c r="K145" s="27"/>
      <c r="L145" s="27"/>
      <c r="M145" s="27"/>
      <c r="N145" s="27"/>
      <c r="O145" s="27"/>
      <c r="P145" s="27"/>
    </row>
    <row r="146" spans="1:16" x14ac:dyDescent="0.3">
      <c r="B146">
        <v>2010</v>
      </c>
      <c r="E146">
        <v>2013</v>
      </c>
      <c r="H146">
        <v>2016</v>
      </c>
      <c r="K146">
        <v>2019</v>
      </c>
      <c r="N146">
        <v>2022</v>
      </c>
    </row>
    <row r="147" spans="1:16" x14ac:dyDescent="0.3">
      <c r="A147" t="s">
        <v>134</v>
      </c>
      <c r="B147" s="14">
        <f>ENEL!B3</f>
        <v>1489274149</v>
      </c>
      <c r="C147" s="14">
        <f>ENEL!C3</f>
        <v>1558014006</v>
      </c>
      <c r="D147" s="14">
        <f>ENEL!D3</f>
        <v>1695255205</v>
      </c>
      <c r="E147" s="14">
        <f>ENEL!E3</f>
        <v>2256949998</v>
      </c>
      <c r="F147" s="14">
        <f>ENEL!F3</f>
        <v>3035795403</v>
      </c>
      <c r="G147" s="14">
        <f>ENEL!G3</f>
        <v>3262953316</v>
      </c>
      <c r="H147" s="14">
        <f>ENEL!H3</f>
        <v>3480439534</v>
      </c>
      <c r="I147" s="14">
        <f>ENEL!I3</f>
        <v>3529040173</v>
      </c>
      <c r="J147" s="14">
        <f>ENEL!J3</f>
        <v>3964215271</v>
      </c>
      <c r="K147" s="14">
        <f>ENEL!K3</f>
        <v>5169493602</v>
      </c>
      <c r="L147" s="14">
        <f>ENEL!L3</f>
        <v>4888444532</v>
      </c>
      <c r="M147" s="14">
        <f>ENEL!M3</f>
        <v>5418228373</v>
      </c>
      <c r="N147" s="14">
        <f>ENEL!N3</f>
        <v>5595346439</v>
      </c>
      <c r="O147" s="14">
        <f>ENEL!O3</f>
        <v>5698687722</v>
      </c>
      <c r="P147" s="14"/>
    </row>
    <row r="148" spans="1:16" x14ac:dyDescent="0.3">
      <c r="A148" t="s">
        <v>135</v>
      </c>
      <c r="B148" s="14">
        <f>ENEL!B4</f>
        <v>379676583</v>
      </c>
      <c r="C148" s="14">
        <f>ENEL!C4</f>
        <v>365735174</v>
      </c>
      <c r="D148" s="14">
        <f>ENEL!D4</f>
        <v>422837752</v>
      </c>
      <c r="E148" s="14">
        <f>ENEL!E4</f>
        <v>568284929</v>
      </c>
      <c r="F148" s="14">
        <f>ENEL!F4</f>
        <v>881440823</v>
      </c>
      <c r="G148" s="14">
        <f>ENEL!G4</f>
        <v>694263548</v>
      </c>
      <c r="H148" s="14">
        <f>ENEL!H4</f>
        <v>767898036</v>
      </c>
      <c r="I148" s="14">
        <f>ENEL!I4</f>
        <v>744945928</v>
      </c>
      <c r="J148" s="14">
        <f>ENEL!J4</f>
        <v>810596112</v>
      </c>
      <c r="K148" s="14">
        <f>ENEL!K4</f>
        <v>1350183140</v>
      </c>
      <c r="L148" s="14">
        <f>ENEL!L4</f>
        <v>1376958931</v>
      </c>
      <c r="M148" s="14">
        <f>ENEL!M4</f>
        <v>1297379813</v>
      </c>
      <c r="N148" s="14">
        <f>ENEL!N4</f>
        <v>1484646595</v>
      </c>
      <c r="O148" s="14">
        <f>ENEL!O4</f>
        <v>1596064579</v>
      </c>
      <c r="P148" s="14"/>
    </row>
    <row r="149" spans="1:16" x14ac:dyDescent="0.3">
      <c r="A149" t="s">
        <v>136</v>
      </c>
      <c r="B149" s="14">
        <f>ENEL!B14</f>
        <v>1109597566</v>
      </c>
      <c r="C149" s="14">
        <f>ENEL!C14</f>
        <v>1192278832</v>
      </c>
      <c r="D149" s="14">
        <f>ENEL!D14</f>
        <v>1272417453</v>
      </c>
      <c r="E149" s="14">
        <f>ENEL!E14</f>
        <v>1688665069</v>
      </c>
      <c r="F149" s="14">
        <f>ENEL!F14</f>
        <v>2154354580</v>
      </c>
      <c r="G149" s="14">
        <f>ENEL!G14</f>
        <v>2568689768</v>
      </c>
      <c r="H149" s="14">
        <f>ENEL!H14</f>
        <v>2712541498</v>
      </c>
      <c r="I149" s="14">
        <f>ENEL!I14</f>
        <v>2784094245</v>
      </c>
      <c r="J149" s="14">
        <f>ENEL!J14</f>
        <v>3153619159</v>
      </c>
      <c r="K149" s="14">
        <f>ENEL!K14</f>
        <v>3819310462</v>
      </c>
      <c r="L149" s="14">
        <f>ENEL!L14</f>
        <v>3511485601</v>
      </c>
      <c r="M149" s="14">
        <f>ENEL!M14</f>
        <v>4120848560</v>
      </c>
      <c r="N149" s="14">
        <f>ENEL!N14</f>
        <v>4110699844</v>
      </c>
      <c r="O149" s="14">
        <f>ENEL!O14</f>
        <v>4102623143</v>
      </c>
      <c r="P149" s="14"/>
    </row>
    <row r="151" spans="1:16" x14ac:dyDescent="0.3">
      <c r="A151" t="s">
        <v>30</v>
      </c>
      <c r="B151" s="14">
        <f>ENEL!B33</f>
        <v>767899626</v>
      </c>
      <c r="C151" s="14">
        <f>ENEL!C33</f>
        <v>784936915</v>
      </c>
      <c r="D151" s="14">
        <f>ENEL!D33</f>
        <v>881248684</v>
      </c>
      <c r="E151" s="14">
        <f>ENEL!E33</f>
        <v>1375864886</v>
      </c>
      <c r="F151" s="14">
        <f>ENEL!F33</f>
        <v>2079450541</v>
      </c>
      <c r="G151" s="14">
        <f>ENEL!G33</f>
        <v>2307606436</v>
      </c>
      <c r="H151" s="14">
        <f>ENEL!H33</f>
        <v>2218566793</v>
      </c>
      <c r="I151" s="14">
        <f>ENEL!I33</f>
        <v>2290689003</v>
      </c>
      <c r="J151" s="14">
        <f>ENEL!J33</f>
        <v>2597793309</v>
      </c>
      <c r="K151" s="14">
        <f>ENEL!K33</f>
        <v>3560819204</v>
      </c>
      <c r="L151" s="14">
        <f>ENEL!L33</f>
        <v>3379954105</v>
      </c>
      <c r="M151" s="14">
        <f>ENEL!M33</f>
        <v>3915183006</v>
      </c>
      <c r="N151" s="14">
        <f>ENEL!N33</f>
        <v>4040830663</v>
      </c>
      <c r="O151" s="14">
        <f>ENEL!O33</f>
        <v>4023234762</v>
      </c>
      <c r="P151" s="14"/>
    </row>
    <row r="152" spans="1:16" x14ac:dyDescent="0.3">
      <c r="A152" t="s">
        <v>137</v>
      </c>
      <c r="B152" s="14">
        <f>ENEL!B34</f>
        <v>376371289</v>
      </c>
      <c r="C152" s="14">
        <f>ENEL!C34</f>
        <v>394261450</v>
      </c>
      <c r="D152" s="14">
        <f>ENEL!D34</f>
        <v>439322720</v>
      </c>
      <c r="E152" s="14">
        <f>ENEL!E34</f>
        <v>515270360</v>
      </c>
      <c r="F152" s="14">
        <f>ENEL!F34</f>
        <v>586386773</v>
      </c>
      <c r="G152" s="14">
        <f>ENEL!G34</f>
        <v>585028258</v>
      </c>
      <c r="H152" s="14">
        <f>ENEL!H34</f>
        <v>576051414</v>
      </c>
      <c r="I152" s="14">
        <f>ENEL!I34</f>
        <v>623404767</v>
      </c>
      <c r="J152" s="14">
        <f>ENEL!J34</f>
        <v>658742932</v>
      </c>
      <c r="K152" s="14">
        <f>ENEL!K34</f>
        <v>891001450</v>
      </c>
      <c r="L152" s="14">
        <f>ENEL!L34</f>
        <v>814156775</v>
      </c>
      <c r="M152" s="14">
        <f>ENEL!M34</f>
        <v>1159502396</v>
      </c>
      <c r="N152" s="14">
        <f>ENEL!N34</f>
        <v>1132020070</v>
      </c>
      <c r="O152" s="14">
        <f>ENEL!O34</f>
        <v>1336992696</v>
      </c>
      <c r="P152" s="14"/>
    </row>
    <row r="153" spans="1:16" x14ac:dyDescent="0.3">
      <c r="A153" t="s">
        <v>138</v>
      </c>
      <c r="B153" s="14">
        <f>ENEL!B45</f>
        <v>391528337</v>
      </c>
      <c r="C153" s="14">
        <f>ENEL!C45</f>
        <v>390675465</v>
      </c>
      <c r="D153" s="14">
        <f>ENEL!D45</f>
        <v>441925964</v>
      </c>
      <c r="E153" s="14">
        <f>ENEL!E45</f>
        <v>860594526</v>
      </c>
      <c r="F153" s="14">
        <f>ENEL!F45</f>
        <v>1493063768</v>
      </c>
      <c r="G153" s="14">
        <f>ENEL!G45</f>
        <v>1722578178</v>
      </c>
      <c r="H153" s="14">
        <f>ENEL!H45</f>
        <v>1642515379</v>
      </c>
      <c r="I153" s="14">
        <f>ENEL!I45</f>
        <v>1667284236</v>
      </c>
      <c r="J153" s="14">
        <f>ENEL!J45</f>
        <v>1939050377</v>
      </c>
      <c r="K153" s="14">
        <f>ENEL!K45</f>
        <v>2669817754</v>
      </c>
      <c r="L153" s="14">
        <f>ENEL!L45</f>
        <v>2565797330</v>
      </c>
      <c r="M153" s="14">
        <f>ENEL!M45</f>
        <v>2755680610</v>
      </c>
      <c r="N153" s="14">
        <f>ENEL!N45</f>
        <v>2908810593</v>
      </c>
      <c r="O153" s="14">
        <f>ENEL!O45</f>
        <v>2686242066</v>
      </c>
      <c r="P153" s="14"/>
    </row>
    <row r="154" spans="1:16" x14ac:dyDescent="0.3">
      <c r="A154" t="s">
        <v>139</v>
      </c>
      <c r="B154" s="14">
        <f>ENEL!B56</f>
        <v>721374523</v>
      </c>
      <c r="C154" s="14">
        <f>ENEL!C56</f>
        <v>773077091</v>
      </c>
      <c r="D154" s="14">
        <f>ENEL!D56</f>
        <v>814006521</v>
      </c>
      <c r="E154" s="14">
        <f>ENEL!E56</f>
        <v>881085112</v>
      </c>
      <c r="F154" s="14">
        <f>ENEL!F56</f>
        <v>956344862</v>
      </c>
      <c r="G154" s="14">
        <f>ENEL!G56</f>
        <v>955346880</v>
      </c>
      <c r="H154" s="14">
        <f>ENEL!H56</f>
        <v>1261872741</v>
      </c>
      <c r="I154" s="14">
        <f>ENEL!I56</f>
        <v>1238351170</v>
      </c>
      <c r="J154" s="14">
        <f>ENEL!J56</f>
        <v>1366421962</v>
      </c>
      <c r="K154" s="14">
        <f>ENEL!K56</f>
        <v>1608674398</v>
      </c>
      <c r="L154" s="14">
        <f>ENEL!L56</f>
        <v>1508490427</v>
      </c>
      <c r="M154" s="14">
        <f>ENEL!M56</f>
        <v>1503045367</v>
      </c>
      <c r="N154" s="14">
        <f>ENEL!N56</f>
        <v>1554515776</v>
      </c>
      <c r="O154" s="14">
        <f>ENEL!O56</f>
        <v>1675452960</v>
      </c>
      <c r="P154" s="14"/>
    </row>
    <row r="157" spans="1:16" x14ac:dyDescent="0.3">
      <c r="B157" t="s">
        <v>142</v>
      </c>
      <c r="C157" t="s">
        <v>141</v>
      </c>
      <c r="D157" t="s">
        <v>141</v>
      </c>
      <c r="E157" t="s">
        <v>140</v>
      </c>
      <c r="F157" t="s">
        <v>140</v>
      </c>
      <c r="G157" t="s">
        <v>140</v>
      </c>
      <c r="H157" t="s">
        <v>140</v>
      </c>
      <c r="I157" t="s">
        <v>140</v>
      </c>
      <c r="J157" t="s">
        <v>140</v>
      </c>
      <c r="K157" t="s">
        <v>140</v>
      </c>
      <c r="L157" t="s">
        <v>140</v>
      </c>
      <c r="M157" t="s">
        <v>140</v>
      </c>
      <c r="N157" t="s">
        <v>140</v>
      </c>
      <c r="O157" t="s">
        <v>140</v>
      </c>
    </row>
    <row r="158" spans="1:16" x14ac:dyDescent="0.3">
      <c r="C158" t="s">
        <v>143</v>
      </c>
    </row>
    <row r="160" spans="1:16" x14ac:dyDescent="0.3">
      <c r="A160" s="27" t="s">
        <v>154</v>
      </c>
      <c r="B160" s="27"/>
      <c r="C160" s="27"/>
      <c r="D160" s="27"/>
      <c r="E160" s="27"/>
      <c r="F160" s="27"/>
      <c r="G160" s="27"/>
      <c r="H160" s="27"/>
      <c r="I160" s="27"/>
      <c r="J160" s="27"/>
      <c r="K160" s="27"/>
      <c r="L160" s="27"/>
      <c r="M160" s="27"/>
      <c r="N160" s="27"/>
      <c r="O160" s="27"/>
      <c r="P160" s="27"/>
    </row>
    <row r="161" spans="1:15" x14ac:dyDescent="0.3">
      <c r="B161">
        <v>2010</v>
      </c>
      <c r="E161">
        <v>2013</v>
      </c>
      <c r="H161">
        <v>2016</v>
      </c>
      <c r="K161">
        <v>2019</v>
      </c>
      <c r="N161">
        <v>2022</v>
      </c>
    </row>
    <row r="162" spans="1:15" x14ac:dyDescent="0.3">
      <c r="A162" t="s">
        <v>152</v>
      </c>
      <c r="B162" s="46">
        <f>B149/B147</f>
        <v>0.74505930741164028</v>
      </c>
      <c r="C162" s="46">
        <f>C149/C147</f>
        <v>0.76525552877475223</v>
      </c>
      <c r="D162" s="46">
        <f>D149/D147</f>
        <v>0.75057575357805784</v>
      </c>
      <c r="E162" s="46">
        <f>E149/E147</f>
        <v>0.74820668180350181</v>
      </c>
      <c r="F162" s="46">
        <f>F149/F147</f>
        <v>0.7096507814298183</v>
      </c>
      <c r="G162" s="46">
        <f>G149/G147</f>
        <v>0.78722847654741013</v>
      </c>
      <c r="H162" s="46">
        <f>H149/H147</f>
        <v>0.77936751134490478</v>
      </c>
      <c r="I162" s="46">
        <f>I149/I147</f>
        <v>0.78890976257526435</v>
      </c>
      <c r="J162" s="46">
        <f>J149/J147</f>
        <v>0.79552167160803011</v>
      </c>
      <c r="K162" s="46">
        <f>K149/K147</f>
        <v>0.73881713685115413</v>
      </c>
      <c r="L162" s="46">
        <f>L149/L147</f>
        <v>0.71832370767708242</v>
      </c>
      <c r="M162" s="46">
        <f>M149/M147</f>
        <v>0.76055276306457009</v>
      </c>
      <c r="N162" s="46">
        <f>N149/N147</f>
        <v>0.73466404427581145</v>
      </c>
      <c r="O162" s="46">
        <f>O149/O147</f>
        <v>0.71992419011865971</v>
      </c>
    </row>
    <row r="163" spans="1:15" x14ac:dyDescent="0.3">
      <c r="A163" t="s">
        <v>153</v>
      </c>
      <c r="B163" s="46">
        <f>B148/B147</f>
        <v>0.25494069258835972</v>
      </c>
      <c r="C163" s="46">
        <f>C148/C147</f>
        <v>0.23474447122524777</v>
      </c>
      <c r="D163" s="46">
        <f>D148/D147</f>
        <v>0.24942424642194211</v>
      </c>
      <c r="E163" s="46">
        <f>E148/E147</f>
        <v>0.25179331819649819</v>
      </c>
      <c r="F163" s="46">
        <f>F148/F147</f>
        <v>0.29034921857018176</v>
      </c>
      <c r="G163" s="46">
        <f>G148/G147</f>
        <v>0.2127715234525899</v>
      </c>
      <c r="H163" s="46">
        <f>H148/H147</f>
        <v>0.22063248865509524</v>
      </c>
      <c r="I163" s="46">
        <f>I148/I147</f>
        <v>0.21109023742473559</v>
      </c>
      <c r="J163" s="46">
        <f>J148/J147</f>
        <v>0.20447832839196992</v>
      </c>
      <c r="K163" s="46">
        <f>K148/K147</f>
        <v>0.26118286314884581</v>
      </c>
      <c r="L163" s="46">
        <f>L148/L147</f>
        <v>0.28167629232291758</v>
      </c>
      <c r="M163" s="46">
        <f>M148/M147</f>
        <v>0.23944723693542994</v>
      </c>
      <c r="N163" s="46">
        <f>N148/N147</f>
        <v>0.26533595572418855</v>
      </c>
      <c r="O163" s="46">
        <f>O148/O147</f>
        <v>0.28007580988134023</v>
      </c>
    </row>
  </sheetData>
  <mergeCells count="9">
    <mergeCell ref="A160:P160"/>
    <mergeCell ref="A114:P114"/>
    <mergeCell ref="A121:P121"/>
    <mergeCell ref="A145:P145"/>
    <mergeCell ref="A1:P1"/>
    <mergeCell ref="A26:P26"/>
    <mergeCell ref="A33:P33"/>
    <mergeCell ref="A56:P56"/>
    <mergeCell ref="A81:P81"/>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2CD0-A2F3-4BDF-99A3-DCCED90DA735}">
  <dimension ref="B1:Q67"/>
  <sheetViews>
    <sheetView topLeftCell="A16" zoomScale="89" zoomScaleNormal="100" workbookViewId="0">
      <selection activeCell="N82" sqref="N82"/>
    </sheetView>
  </sheetViews>
  <sheetFormatPr baseColWidth="10" defaultRowHeight="14.4" x14ac:dyDescent="0.3"/>
  <cols>
    <col min="1" max="1" width="14.109375" customWidth="1"/>
    <col min="2" max="2" width="16.21875" customWidth="1"/>
    <col min="3" max="3" width="13.109375" customWidth="1"/>
    <col min="4" max="4" width="13.5546875" customWidth="1"/>
    <col min="5" max="5" width="12.88671875" customWidth="1"/>
    <col min="6" max="6" width="13.6640625" customWidth="1"/>
    <col min="7" max="7" width="12.5546875" customWidth="1"/>
    <col min="8" max="8" width="14.109375" customWidth="1"/>
    <col min="9" max="9" width="12.88671875" customWidth="1"/>
    <col min="10" max="10" width="13.21875" customWidth="1"/>
    <col min="11" max="11" width="14.5546875" customWidth="1"/>
    <col min="12" max="12" width="14.21875" customWidth="1"/>
    <col min="13" max="13" width="13.6640625" customWidth="1"/>
    <col min="14" max="14" width="13.44140625" customWidth="1"/>
    <col min="15" max="15" width="14.21875" customWidth="1"/>
    <col min="16" max="16" width="12.5546875" customWidth="1"/>
  </cols>
  <sheetData>
    <row r="1" spans="2:16" ht="15" thickBot="1" x14ac:dyDescent="0.35"/>
    <row r="2" spans="2:16" ht="17.399999999999999" customHeight="1" thickBot="1" x14ac:dyDescent="0.35">
      <c r="B2" s="30" t="s">
        <v>151</v>
      </c>
      <c r="C2" s="40">
        <v>2010</v>
      </c>
      <c r="D2" s="41">
        <v>2011</v>
      </c>
      <c r="E2" s="41">
        <v>2012</v>
      </c>
      <c r="F2" s="41">
        <v>2013</v>
      </c>
      <c r="G2" s="41">
        <v>2014</v>
      </c>
      <c r="H2" s="41">
        <v>2015</v>
      </c>
      <c r="I2" s="41">
        <v>2016</v>
      </c>
      <c r="J2" s="41">
        <v>2017</v>
      </c>
      <c r="K2" s="41">
        <v>2018</v>
      </c>
      <c r="L2" s="41">
        <v>2019</v>
      </c>
      <c r="M2" s="41">
        <v>2020</v>
      </c>
      <c r="N2" s="41">
        <v>2021</v>
      </c>
      <c r="O2" s="41">
        <v>2022</v>
      </c>
      <c r="P2" s="42">
        <v>2023</v>
      </c>
    </row>
    <row r="3" spans="2:16" ht="17.399999999999999" customHeight="1" x14ac:dyDescent="0.3">
      <c r="B3" s="43" t="s">
        <v>102</v>
      </c>
      <c r="C3" s="31">
        <v>1.0087820035603194</v>
      </c>
      <c r="D3" s="32">
        <v>0.92764629663894349</v>
      </c>
      <c r="E3" s="32">
        <v>0.96247640458931871</v>
      </c>
      <c r="F3" s="32">
        <v>1.1028868980548385</v>
      </c>
      <c r="G3" s="32">
        <v>1.5031730993700296</v>
      </c>
      <c r="H3" s="32">
        <v>1.1867179721769952</v>
      </c>
      <c r="I3" s="32">
        <v>1.3330373250329353</v>
      </c>
      <c r="J3" s="32">
        <v>1.1949634770758819</v>
      </c>
      <c r="K3" s="32">
        <v>1.2305196346304024</v>
      </c>
      <c r="L3" s="32">
        <v>1.5153545934184507</v>
      </c>
      <c r="M3" s="32">
        <v>1.6912700026355489</v>
      </c>
      <c r="N3" s="32">
        <v>1.1189108513062529</v>
      </c>
      <c r="O3" s="32">
        <v>1.3115020080871889</v>
      </c>
      <c r="P3" s="33">
        <v>1.1937721004573087</v>
      </c>
    </row>
    <row r="4" spans="2:16" ht="17.399999999999999" customHeight="1" x14ac:dyDescent="0.3">
      <c r="B4" s="44" t="s">
        <v>107</v>
      </c>
      <c r="C4" s="34">
        <v>0.86555239871126299</v>
      </c>
      <c r="D4" s="35">
        <v>0.75375889780753358</v>
      </c>
      <c r="E4" s="35">
        <v>0.79257689427034417</v>
      </c>
      <c r="F4" s="35">
        <v>0.74179233596902405</v>
      </c>
      <c r="G4" s="35">
        <v>1.2311652159316355</v>
      </c>
      <c r="H4" s="35">
        <v>0.84961385574643478</v>
      </c>
      <c r="I4" s="35">
        <v>0.8260437183824012</v>
      </c>
      <c r="J4" s="35">
        <v>0.84797178491899472</v>
      </c>
      <c r="K4" s="35">
        <v>0.96845904678336647</v>
      </c>
      <c r="L4" s="35">
        <v>1.3553248437474485</v>
      </c>
      <c r="M4" s="35">
        <v>1.4337303991605301</v>
      </c>
      <c r="N4" s="35">
        <v>0.99302051463807406</v>
      </c>
      <c r="O4" s="35">
        <v>0.97900694022147505</v>
      </c>
      <c r="P4" s="36">
        <v>1.0932568811879284</v>
      </c>
    </row>
    <row r="5" spans="2:16" ht="17.399999999999999" customHeight="1" thickBot="1" x14ac:dyDescent="0.35">
      <c r="B5" s="45" t="s">
        <v>108</v>
      </c>
      <c r="C5" s="37">
        <v>0.91100835005509684</v>
      </c>
      <c r="D5" s="38">
        <v>0.76762101392362858</v>
      </c>
      <c r="E5" s="38">
        <v>0.8114305538306783</v>
      </c>
      <c r="F5" s="38">
        <v>0.81089034890343781</v>
      </c>
      <c r="G5" s="38">
        <v>1.3204921932985005</v>
      </c>
      <c r="H5" s="38">
        <v>1.0252984224225286</v>
      </c>
      <c r="I5" s="38">
        <v>1.174341896503009</v>
      </c>
      <c r="J5" s="38">
        <v>1.039480492134254</v>
      </c>
      <c r="K5" s="38">
        <v>1.048005793252291</v>
      </c>
      <c r="L5" s="38">
        <v>1.4226329586781257</v>
      </c>
      <c r="M5" s="38">
        <v>1.5957892335907908</v>
      </c>
      <c r="N5" s="38">
        <v>1.014446805852051</v>
      </c>
      <c r="O5" s="38">
        <v>1.2051070331288385</v>
      </c>
      <c r="P5" s="39">
        <v>1.1133337552653317</v>
      </c>
    </row>
    <row r="9" spans="2:16" ht="15" thickBot="1" x14ac:dyDescent="0.35"/>
    <row r="10" spans="2:16" ht="16.8" customHeight="1" thickBot="1" x14ac:dyDescent="0.35">
      <c r="B10" s="48" t="s">
        <v>151</v>
      </c>
      <c r="C10" s="40">
        <v>2010</v>
      </c>
      <c r="D10" s="41">
        <v>2011</v>
      </c>
      <c r="E10" s="41">
        <v>2012</v>
      </c>
      <c r="F10" s="41">
        <v>2013</v>
      </c>
      <c r="G10" s="41">
        <v>2014</v>
      </c>
      <c r="H10" s="41">
        <v>2015</v>
      </c>
      <c r="I10" s="41">
        <v>2016</v>
      </c>
      <c r="J10" s="41">
        <v>2017</v>
      </c>
      <c r="K10" s="41">
        <v>2018</v>
      </c>
      <c r="L10" s="41">
        <v>2019</v>
      </c>
      <c r="M10" s="41">
        <v>2020</v>
      </c>
      <c r="N10" s="41">
        <v>2021</v>
      </c>
      <c r="O10" s="41">
        <v>2022</v>
      </c>
      <c r="P10" s="42">
        <v>2023</v>
      </c>
    </row>
    <row r="11" spans="2:16" ht="16.8" customHeight="1" x14ac:dyDescent="0.3">
      <c r="B11" s="49" t="s">
        <v>103</v>
      </c>
      <c r="C11" s="31">
        <v>0.51562005995714089</v>
      </c>
      <c r="D11" s="32">
        <v>0.50380607104760522</v>
      </c>
      <c r="E11" s="32">
        <v>0.51983246026960284</v>
      </c>
      <c r="F11" s="32">
        <v>0.6096124802141053</v>
      </c>
      <c r="G11" s="32">
        <v>0.68497716906253581</v>
      </c>
      <c r="H11" s="32">
        <v>0.7072140519708251</v>
      </c>
      <c r="I11" s="32">
        <v>0.63743868305341456</v>
      </c>
      <c r="J11" s="32">
        <v>0.64909689057257436</v>
      </c>
      <c r="K11" s="32">
        <v>0.65531085761260621</v>
      </c>
      <c r="L11" s="32">
        <v>0.68881392997998336</v>
      </c>
      <c r="M11" s="32">
        <v>0.69141709246666361</v>
      </c>
      <c r="N11" s="32">
        <v>0.72259468159556661</v>
      </c>
      <c r="O11" s="32">
        <v>0.72217702818812002</v>
      </c>
      <c r="P11" s="33">
        <v>0.7059931967263533</v>
      </c>
    </row>
    <row r="12" spans="2:16" ht="16.8" customHeight="1" x14ac:dyDescent="0.3">
      <c r="B12" s="50" t="s">
        <v>104</v>
      </c>
      <c r="C12" s="34">
        <v>0.25272129329091042</v>
      </c>
      <c r="D12" s="35">
        <v>0.25305385476746478</v>
      </c>
      <c r="E12" s="35">
        <v>0.25914842715377479</v>
      </c>
      <c r="F12" s="35">
        <v>0.22830384388515815</v>
      </c>
      <c r="G12" s="35">
        <v>0.19315754033375482</v>
      </c>
      <c r="H12" s="35">
        <v>0.17929409382944417</v>
      </c>
      <c r="I12" s="35">
        <v>0.16551111098831692</v>
      </c>
      <c r="J12" s="35">
        <v>0.17664994911918222</v>
      </c>
      <c r="K12" s="35">
        <v>0.16617234104792389</v>
      </c>
      <c r="L12" s="35">
        <v>0.17235758830522294</v>
      </c>
      <c r="M12" s="35">
        <v>0.16654720528595332</v>
      </c>
      <c r="N12" s="35">
        <v>0.21400028130560306</v>
      </c>
      <c r="O12" s="35">
        <v>0.20231456306435863</v>
      </c>
      <c r="P12" s="36">
        <v>0.23461413595949274</v>
      </c>
    </row>
    <row r="13" spans="2:16" ht="16.8" customHeight="1" x14ac:dyDescent="0.3">
      <c r="B13" s="50" t="s">
        <v>105</v>
      </c>
      <c r="C13" s="34">
        <v>1.064495073663698</v>
      </c>
      <c r="D13" s="35">
        <v>1.0153410625383543</v>
      </c>
      <c r="E13" s="35">
        <v>1.0826064180878965</v>
      </c>
      <c r="F13" s="35">
        <v>1.5615572970889104</v>
      </c>
      <c r="G13" s="35">
        <v>2.1743730986866536</v>
      </c>
      <c r="H13" s="35">
        <v>2.4154644604062558</v>
      </c>
      <c r="I13" s="35">
        <v>1.7581541473364786</v>
      </c>
      <c r="J13" s="35">
        <v>1.8497895092229775</v>
      </c>
      <c r="K13" s="35">
        <v>1.9011647801662017</v>
      </c>
      <c r="L13" s="35">
        <v>2.2135114529248572</v>
      </c>
      <c r="M13" s="35">
        <v>2.240620188569483</v>
      </c>
      <c r="N13" s="35">
        <v>2.6048335545682835</v>
      </c>
      <c r="O13" s="35">
        <v>2.5994143805974472</v>
      </c>
      <c r="P13" s="36">
        <v>2.4012818372411959</v>
      </c>
    </row>
    <row r="14" spans="2:16" ht="16.8" customHeight="1" x14ac:dyDescent="0.3">
      <c r="B14" s="50" t="s">
        <v>111</v>
      </c>
      <c r="C14" s="34">
        <v>1.4284511083240869</v>
      </c>
      <c r="D14" s="35">
        <v>1.5993464767465462</v>
      </c>
      <c r="E14" s="35">
        <v>1.4804264544320185</v>
      </c>
      <c r="F14" s="35">
        <v>1.0160561361277451</v>
      </c>
      <c r="G14" s="35">
        <v>0.68221925198422517</v>
      </c>
      <c r="H14" s="35">
        <v>0.64504753470229637</v>
      </c>
      <c r="I14" s="35">
        <v>0.7608946635756586</v>
      </c>
      <c r="J14" s="35">
        <v>0.75816400499211523</v>
      </c>
      <c r="K14" s="35">
        <v>0.75317701394858039</v>
      </c>
      <c r="L14" s="35">
        <v>1.0044205980558658</v>
      </c>
      <c r="M14" s="35">
        <v>0.97205793611298641</v>
      </c>
      <c r="N14" s="35">
        <v>0.92775907325993034</v>
      </c>
      <c r="O14" s="35">
        <v>1.5807347057641243</v>
      </c>
      <c r="P14" s="36">
        <v>0.95091404077472919</v>
      </c>
    </row>
    <row r="15" spans="2:16" ht="16.8" customHeight="1" thickBot="1" x14ac:dyDescent="0.35">
      <c r="B15" s="51" t="s">
        <v>127</v>
      </c>
      <c r="C15" s="37">
        <v>18.470408131212686</v>
      </c>
      <c r="D15" s="38">
        <v>18.523513418381349</v>
      </c>
      <c r="E15" s="38">
        <v>13.210645941072839</v>
      </c>
      <c r="F15" s="38">
        <v>8.0526785927664264</v>
      </c>
      <c r="G15" s="38">
        <v>2.0220390157708792</v>
      </c>
      <c r="H15" s="38">
        <v>0.98447417596182807</v>
      </c>
      <c r="I15" s="38">
        <v>1.4154376611027883</v>
      </c>
      <c r="J15" s="38">
        <v>1.5423754105154324</v>
      </c>
      <c r="K15" s="38">
        <v>0.69613007445453312</v>
      </c>
      <c r="L15" s="38">
        <v>2.5800911319332238</v>
      </c>
      <c r="M15" s="38">
        <v>1.8237721295337446</v>
      </c>
      <c r="N15" s="38">
        <v>1.6579602065036072</v>
      </c>
      <c r="O15" s="38">
        <v>5.0176065407463311</v>
      </c>
      <c r="P15" s="39">
        <v>1.7847109478044534</v>
      </c>
    </row>
    <row r="17" spans="2:16" ht="15" thickBot="1" x14ac:dyDescent="0.35"/>
    <row r="18" spans="2:16" ht="17.399999999999999" customHeight="1" thickBot="1" x14ac:dyDescent="0.35">
      <c r="B18" s="48" t="s">
        <v>151</v>
      </c>
      <c r="C18" s="40">
        <v>2010</v>
      </c>
      <c r="D18" s="41">
        <v>2011</v>
      </c>
      <c r="E18" s="41">
        <v>2012</v>
      </c>
      <c r="F18" s="41">
        <v>2013</v>
      </c>
      <c r="G18" s="41">
        <v>2014</v>
      </c>
      <c r="H18" s="41">
        <v>2015</v>
      </c>
      <c r="I18" s="41">
        <v>2016</v>
      </c>
      <c r="J18" s="41">
        <v>2017</v>
      </c>
      <c r="K18" s="41">
        <v>2018</v>
      </c>
      <c r="L18" s="41">
        <v>2019</v>
      </c>
      <c r="M18" s="41">
        <v>2020</v>
      </c>
      <c r="N18" s="41">
        <v>2021</v>
      </c>
      <c r="O18" s="41">
        <v>2022</v>
      </c>
      <c r="P18" s="42">
        <v>2023</v>
      </c>
    </row>
    <row r="19" spans="2:16" ht="17.399999999999999" customHeight="1" x14ac:dyDescent="0.3">
      <c r="B19" s="49" t="s">
        <v>114</v>
      </c>
      <c r="C19" s="31">
        <v>0.72759950995429523</v>
      </c>
      <c r="D19" s="32">
        <v>0.78997893938060015</v>
      </c>
      <c r="E19" s="32">
        <v>0.84359906271457219</v>
      </c>
      <c r="F19" s="32">
        <v>0.72149383302376557</v>
      </c>
      <c r="G19" s="32">
        <v>0.54129714518182237</v>
      </c>
      <c r="H19" s="32">
        <v>0.54693171803871432</v>
      </c>
      <c r="I19" s="32">
        <v>0.53662678284012388</v>
      </c>
      <c r="J19" s="32">
        <v>0.55059480843149922</v>
      </c>
      <c r="K19" s="32">
        <v>0.48261109733261004</v>
      </c>
      <c r="L19" s="32">
        <v>0.3827825586696606</v>
      </c>
      <c r="M19" s="32">
        <v>0.4280797743129634</v>
      </c>
      <c r="N19" s="32">
        <v>0.44797312163792768</v>
      </c>
      <c r="O19" s="32">
        <v>0.45407070530811866</v>
      </c>
      <c r="P19" s="33">
        <v>0.43408104298296907</v>
      </c>
    </row>
    <row r="20" spans="2:16" ht="17.399999999999999" customHeight="1" x14ac:dyDescent="0.3">
      <c r="B20" s="50" t="s">
        <v>116</v>
      </c>
      <c r="C20" s="58">
        <v>0.43195255523944803</v>
      </c>
      <c r="D20" s="59">
        <v>0.43606978327102791</v>
      </c>
      <c r="E20" s="59">
        <v>0.39970055094185658</v>
      </c>
      <c r="F20" s="59">
        <v>0.30700560802159693</v>
      </c>
      <c r="G20" s="59">
        <v>0.24151308765858576</v>
      </c>
      <c r="H20" s="59">
        <v>0.2241461434704613</v>
      </c>
      <c r="I20" s="59">
        <v>0.2426925416764722</v>
      </c>
      <c r="J20" s="59">
        <v>0.24355417109116143</v>
      </c>
      <c r="K20" s="59">
        <v>0.25155990989847521</v>
      </c>
      <c r="L20" s="59">
        <v>0.31228619720892059</v>
      </c>
      <c r="M20" s="59">
        <v>0.33677422049253519</v>
      </c>
      <c r="N20" s="59">
        <v>0.34069576511740646</v>
      </c>
      <c r="O20" s="59">
        <v>0.30904239791743804</v>
      </c>
      <c r="P20" s="60">
        <v>0.3138416883383528</v>
      </c>
    </row>
    <row r="21" spans="2:16" ht="17.399999999999999" customHeight="1" x14ac:dyDescent="0.3">
      <c r="B21" s="50" t="s">
        <v>117</v>
      </c>
      <c r="C21" s="58">
        <v>0.15962715451120688</v>
      </c>
      <c r="D21" s="59">
        <v>0.1468694472926502</v>
      </c>
      <c r="E21" s="59">
        <v>0.11697942744495508</v>
      </c>
      <c r="F21" s="59">
        <v>9.0252680385289885E-2</v>
      </c>
      <c r="G21" s="59">
        <v>3.436476772768176E-2</v>
      </c>
      <c r="H21" s="59">
        <v>-6.174992606785061E-4</v>
      </c>
      <c r="I21" s="59">
        <v>1.8288886644770505E-2</v>
      </c>
      <c r="J21" s="59">
        <v>2.2340684708147273E-2</v>
      </c>
      <c r="K21" s="59">
        <v>-1.2342885968190116E-2</v>
      </c>
      <c r="L21" s="59">
        <v>7.790212762878844E-2</v>
      </c>
      <c r="M21" s="59">
        <v>4.036340564170967E-2</v>
      </c>
      <c r="N21" s="59">
        <v>3.0889367283150674E-2</v>
      </c>
      <c r="O21" s="59">
        <v>0.17978919418902817</v>
      </c>
      <c r="P21" s="60">
        <v>3.5931860094596813E-2</v>
      </c>
    </row>
    <row r="22" spans="2:16" ht="17.399999999999999" customHeight="1" x14ac:dyDescent="0.3">
      <c r="B22" s="50" t="s">
        <v>113</v>
      </c>
      <c r="C22" s="58">
        <v>0.11614463939775269</v>
      </c>
      <c r="D22" s="59">
        <v>0.11602377019966276</v>
      </c>
      <c r="E22" s="59">
        <v>9.8683735349451407E-2</v>
      </c>
      <c r="F22" s="59">
        <v>6.5116752311851628E-2</v>
      </c>
      <c r="G22" s="59">
        <v>1.8601550665830559E-2</v>
      </c>
      <c r="H22" s="59">
        <v>-3.3772993153053125E-4</v>
      </c>
      <c r="I22" s="59">
        <v>9.8143064019109039E-3</v>
      </c>
      <c r="J22" s="59">
        <v>1.2300665017110872E-2</v>
      </c>
      <c r="K22" s="59">
        <v>-5.9568137413595068E-3</v>
      </c>
      <c r="L22" s="59">
        <v>2.98195757395581E-2</v>
      </c>
      <c r="M22" s="59">
        <v>1.727875757760567E-2</v>
      </c>
      <c r="N22" s="59">
        <v>1.383760628725348E-2</v>
      </c>
      <c r="O22" s="59">
        <v>8.1637006212190333E-2</v>
      </c>
      <c r="P22" s="60">
        <v>1.5597339306180709E-2</v>
      </c>
    </row>
    <row r="23" spans="2:16" ht="17.399999999999999" customHeight="1" x14ac:dyDescent="0.3">
      <c r="B23" s="50" t="s">
        <v>118</v>
      </c>
      <c r="C23" s="58">
        <v>0.13930961410920187</v>
      </c>
      <c r="D23" s="59">
        <v>0.14739416790583076</v>
      </c>
      <c r="E23" s="59">
        <v>0.12525372308177046</v>
      </c>
      <c r="F23" s="59">
        <v>8.7620537971705659E-2</v>
      </c>
      <c r="G23" s="59">
        <v>3.4162151341791201E-2</v>
      </c>
      <c r="H23" s="59">
        <v>1.7498243912969301E-2</v>
      </c>
      <c r="I23" s="59">
        <v>2.5388180468817766E-2</v>
      </c>
      <c r="J23" s="59">
        <v>3.004694953921682E-2</v>
      </c>
      <c r="K23" s="59">
        <v>1.9030300789131892E-2</v>
      </c>
      <c r="L23" s="59">
        <v>6.5338862953485871E-2</v>
      </c>
      <c r="M23" s="59">
        <v>4.019478848819226E-2</v>
      </c>
      <c r="N23" s="59">
        <v>4.2925745647598601E-2</v>
      </c>
      <c r="O23" s="59">
        <v>0.11678415878691939</v>
      </c>
      <c r="P23" s="60">
        <v>4.1038365744653096E-2</v>
      </c>
    </row>
    <row r="24" spans="2:16" ht="17.399999999999999" customHeight="1" x14ac:dyDescent="0.3">
      <c r="B24" s="50" t="s">
        <v>119</v>
      </c>
      <c r="C24" s="58">
        <v>0.29589560746481475</v>
      </c>
      <c r="D24" s="59">
        <v>0.32056249178545576</v>
      </c>
      <c r="E24" s="59">
        <v>0.30815833713956947</v>
      </c>
      <c r="F24" s="59">
        <v>0.19624764234586289</v>
      </c>
      <c r="G24" s="59">
        <v>0.11309872057277109</v>
      </c>
      <c r="H24" s="59">
        <v>0.10135646880949736</v>
      </c>
      <c r="I24" s="59">
        <v>0.11146475530179402</v>
      </c>
      <c r="J24" s="59">
        <v>0.11955220777250132</v>
      </c>
      <c r="K24" s="59">
        <v>0.10267001390601323</v>
      </c>
      <c r="L24" s="59">
        <v>0.14709764834718136</v>
      </c>
      <c r="M24" s="59">
        <v>0.1358153276883699</v>
      </c>
      <c r="N24" s="59">
        <v>0.1290945358607534</v>
      </c>
      <c r="O24" s="59">
        <v>0.20936444271525115</v>
      </c>
      <c r="P24" s="60">
        <v>0.12950476653614396</v>
      </c>
    </row>
    <row r="25" spans="2:16" ht="17.399999999999999" customHeight="1" thickBot="1" x14ac:dyDescent="0.35">
      <c r="B25" s="51" t="s">
        <v>120</v>
      </c>
      <c r="C25" s="61">
        <v>0.23978003586910707</v>
      </c>
      <c r="D25" s="62">
        <v>0.2338274683138942</v>
      </c>
      <c r="E25" s="62">
        <v>0.20551938059965488</v>
      </c>
      <c r="F25" s="62">
        <v>0.16680029204715471</v>
      </c>
      <c r="G25" s="62">
        <v>5.9048262027469336E-2</v>
      </c>
      <c r="H25" s="62">
        <v>-1.1535045783579677E-3</v>
      </c>
      <c r="I25" s="62">
        <v>2.7069369905661507E-2</v>
      </c>
      <c r="J25" s="62">
        <v>3.5054306122228637E-2</v>
      </c>
      <c r="K25" s="62">
        <v>-1.7281698228442263E-2</v>
      </c>
      <c r="L25" s="62">
        <v>9.5825548160430166E-2</v>
      </c>
      <c r="M25" s="62">
        <v>5.5993890639386874E-2</v>
      </c>
      <c r="N25" s="62">
        <v>4.988226745919639E-2</v>
      </c>
      <c r="O25" s="62">
        <v>0.293845414149081</v>
      </c>
      <c r="P25" s="63">
        <v>5.3050946891400649E-2</v>
      </c>
    </row>
    <row r="30" spans="2:16" ht="15" thickBot="1" x14ac:dyDescent="0.35"/>
    <row r="31" spans="2:16" x14ac:dyDescent="0.3">
      <c r="B31" s="47"/>
      <c r="C31" s="67">
        <v>2010</v>
      </c>
      <c r="D31" s="67">
        <v>2011</v>
      </c>
      <c r="E31" s="67">
        <v>2012</v>
      </c>
      <c r="F31" s="67">
        <v>2013</v>
      </c>
      <c r="G31" s="67">
        <v>2014</v>
      </c>
      <c r="H31" s="67">
        <v>2015</v>
      </c>
      <c r="I31" s="67">
        <v>2016</v>
      </c>
      <c r="J31" s="67">
        <v>2017</v>
      </c>
      <c r="K31" s="67">
        <v>2018</v>
      </c>
      <c r="L31" s="67">
        <v>2019</v>
      </c>
      <c r="M31" s="67">
        <v>2020</v>
      </c>
      <c r="N31" s="67">
        <v>2021</v>
      </c>
      <c r="O31" s="67">
        <v>2022</v>
      </c>
      <c r="P31" s="68">
        <v>2023</v>
      </c>
    </row>
    <row r="32" spans="2:16" x14ac:dyDescent="0.3">
      <c r="B32" s="70" t="s">
        <v>155</v>
      </c>
      <c r="C32" s="64">
        <v>1083595141</v>
      </c>
      <c r="D32" s="64">
        <v>1230798252</v>
      </c>
      <c r="E32" s="64">
        <v>1430115702</v>
      </c>
      <c r="F32" s="64">
        <v>1628375505</v>
      </c>
      <c r="G32" s="64">
        <v>1643267385</v>
      </c>
      <c r="H32" s="64">
        <v>1784612663</v>
      </c>
      <c r="I32" s="64">
        <v>1867697070</v>
      </c>
      <c r="J32" s="64">
        <v>1943071198</v>
      </c>
      <c r="K32" s="64">
        <v>1913174282</v>
      </c>
      <c r="L32" s="64">
        <v>1978791988</v>
      </c>
      <c r="M32" s="64">
        <v>2092644232</v>
      </c>
      <c r="N32" s="64">
        <v>2427220678</v>
      </c>
      <c r="O32" s="64">
        <v>2540682904</v>
      </c>
      <c r="P32" s="71">
        <v>2473692310</v>
      </c>
    </row>
    <row r="33" spans="2:17" ht="15" thickBot="1" x14ac:dyDescent="0.35">
      <c r="B33" s="69" t="s">
        <v>158</v>
      </c>
      <c r="C33" s="72">
        <f>C32*(1+Análisis!B119)</f>
        <v>1895207901.6090002</v>
      </c>
      <c r="D33" s="72">
        <f>D32*(1+Análisis!C119)</f>
        <v>2061587072.1000001</v>
      </c>
      <c r="E33" s="72">
        <f>E32*(1+Análisis!D119)</f>
        <v>2359690908.2999997</v>
      </c>
      <c r="F33" s="72">
        <f>F32*(1+Análisis!E119)</f>
        <v>2608657559.0099998</v>
      </c>
      <c r="G33" s="72">
        <f>G32*(1+Análisis!F119)</f>
        <v>2515842366.4350004</v>
      </c>
      <c r="H33" s="72">
        <f>H32*(1+Análisis!G119)</f>
        <v>2618026776.6210003</v>
      </c>
      <c r="I33" s="72">
        <f>I32*(1+Análisis!H119)</f>
        <v>2667071415.96</v>
      </c>
      <c r="J33" s="72">
        <f>J32*(1+Análisis!I119)</f>
        <v>2712527392.408</v>
      </c>
      <c r="K33" s="72">
        <f>K32*(1+Análisis!J119)</f>
        <v>2605743372.0840001</v>
      </c>
      <c r="L33" s="72">
        <f>L32*(1+Análisis!K119)</f>
        <v>2615963008.1360002</v>
      </c>
      <c r="M33" s="72">
        <f>M32*(1+Análisis!L119)</f>
        <v>2686955193.888</v>
      </c>
      <c r="N33" s="72">
        <f>N32*(1+Análisis!M119)</f>
        <v>2907810372.244</v>
      </c>
      <c r="O33" s="72">
        <f>O32*(1+Análisis!N119)</f>
        <v>2698205244.0480003</v>
      </c>
      <c r="P33" s="73">
        <f>P32*(1+Análisis!O119)</f>
        <v>2528113540.8200002</v>
      </c>
    </row>
    <row r="37" spans="2:17" ht="15" thickBot="1" x14ac:dyDescent="0.35"/>
    <row r="38" spans="2:17" ht="19.8" customHeight="1" x14ac:dyDescent="0.3">
      <c r="B38" s="52"/>
      <c r="C38" s="53">
        <v>2010</v>
      </c>
      <c r="D38" s="53">
        <v>2011</v>
      </c>
      <c r="E38" s="53">
        <v>2012</v>
      </c>
      <c r="F38" s="53">
        <v>2013</v>
      </c>
      <c r="G38" s="53">
        <v>2014</v>
      </c>
      <c r="H38" s="53">
        <v>2015</v>
      </c>
      <c r="I38" s="53">
        <v>2016</v>
      </c>
      <c r="J38" s="53">
        <v>2017</v>
      </c>
      <c r="K38" s="53">
        <v>2018</v>
      </c>
      <c r="L38" s="53">
        <v>2019</v>
      </c>
      <c r="M38" s="53">
        <v>2020</v>
      </c>
      <c r="N38" s="53">
        <v>2021</v>
      </c>
      <c r="O38" s="53">
        <v>2022</v>
      </c>
      <c r="P38" s="54">
        <v>2023</v>
      </c>
    </row>
    <row r="39" spans="2:17" ht="19.8" customHeight="1" x14ac:dyDescent="0.3">
      <c r="B39" s="74" t="s">
        <v>157</v>
      </c>
      <c r="C39" s="75">
        <v>721374523</v>
      </c>
      <c r="D39" s="75">
        <v>773077091</v>
      </c>
      <c r="E39" s="75">
        <v>814006521</v>
      </c>
      <c r="F39" s="75">
        <v>881085112</v>
      </c>
      <c r="G39" s="75">
        <v>956344862</v>
      </c>
      <c r="H39" s="75">
        <v>955346880</v>
      </c>
      <c r="I39" s="75">
        <v>1261872741</v>
      </c>
      <c r="J39" s="75">
        <v>1238351170</v>
      </c>
      <c r="K39" s="75">
        <v>1366421962</v>
      </c>
      <c r="L39" s="75">
        <v>1608674398</v>
      </c>
      <c r="M39" s="75">
        <v>1508490427</v>
      </c>
      <c r="N39" s="75">
        <v>1503045367</v>
      </c>
      <c r="O39" s="75">
        <v>1554515776</v>
      </c>
      <c r="P39" s="76">
        <v>1675452960</v>
      </c>
      <c r="Q39" s="65"/>
    </row>
    <row r="40" spans="2:17" ht="19.8" customHeight="1" x14ac:dyDescent="0.3">
      <c r="B40" s="77" t="s">
        <v>92</v>
      </c>
      <c r="C40" s="78">
        <v>172971209</v>
      </c>
      <c r="D40" s="78">
        <v>180766659</v>
      </c>
      <c r="E40" s="78">
        <v>167294116</v>
      </c>
      <c r="F40" s="78">
        <v>146965254</v>
      </c>
      <c r="G40" s="78">
        <v>56470502</v>
      </c>
      <c r="H40" s="78">
        <v>-1101997</v>
      </c>
      <c r="I40" s="78">
        <v>34158100</v>
      </c>
      <c r="J40" s="78">
        <v>43409541</v>
      </c>
      <c r="K40" s="78">
        <v>-23614092</v>
      </c>
      <c r="L40" s="78">
        <v>154152106</v>
      </c>
      <c r="M40" s="78">
        <v>84466248</v>
      </c>
      <c r="N40" s="78">
        <v>74975311</v>
      </c>
      <c r="O40" s="78">
        <v>456787332</v>
      </c>
      <c r="P40" s="79">
        <v>88884366</v>
      </c>
      <c r="Q40" s="66"/>
    </row>
    <row r="41" spans="2:17" ht="19.8" customHeight="1" thickBot="1" x14ac:dyDescent="0.35">
      <c r="B41" s="55" t="s">
        <v>120</v>
      </c>
      <c r="C41" s="56">
        <f>C40/C39</f>
        <v>0.23978003586910707</v>
      </c>
      <c r="D41" s="56">
        <f>D40/D39</f>
        <v>0.2338274683138942</v>
      </c>
      <c r="E41" s="56">
        <f>E40/E39</f>
        <v>0.20551938059965494</v>
      </c>
      <c r="F41" s="56">
        <f>F40/F39</f>
        <v>0.16680029204715469</v>
      </c>
      <c r="G41" s="56">
        <f>G40/G39</f>
        <v>5.9048262027469336E-2</v>
      </c>
      <c r="H41" s="56">
        <f>H40/H39</f>
        <v>-1.1535045783579677E-3</v>
      </c>
      <c r="I41" s="56">
        <f>I40/I39</f>
        <v>2.706936990566151E-2</v>
      </c>
      <c r="J41" s="56">
        <f>J40/J39</f>
        <v>3.5054306122228637E-2</v>
      </c>
      <c r="K41" s="56">
        <f>K40/K39</f>
        <v>-1.7281698228442263E-2</v>
      </c>
      <c r="L41" s="56">
        <f>L40/L39</f>
        <v>9.5825548160430166E-2</v>
      </c>
      <c r="M41" s="56">
        <f>M40/M39</f>
        <v>5.5993890639386867E-2</v>
      </c>
      <c r="N41" s="56">
        <f>N40/N39</f>
        <v>4.988226745919639E-2</v>
      </c>
      <c r="O41" s="56">
        <f>O40/O39</f>
        <v>0.293845414149081</v>
      </c>
      <c r="P41" s="57">
        <f>P40/P39</f>
        <v>5.3050946891400642E-2</v>
      </c>
    </row>
    <row r="42" spans="2:17" x14ac:dyDescent="0.3">
      <c r="B42" s="29"/>
      <c r="C42" s="29"/>
      <c r="D42" s="29"/>
      <c r="E42" s="29"/>
      <c r="F42" s="29"/>
      <c r="G42" s="29"/>
      <c r="H42" s="29"/>
      <c r="I42" s="29"/>
      <c r="J42" s="29"/>
      <c r="K42" s="29"/>
      <c r="L42" s="29"/>
      <c r="M42" s="29"/>
      <c r="N42" s="29"/>
      <c r="O42" s="29"/>
      <c r="P42" s="29"/>
    </row>
    <row r="60" spans="2:16" ht="15" thickBot="1" x14ac:dyDescent="0.35"/>
    <row r="61" spans="2:16" ht="17.399999999999999" customHeight="1" x14ac:dyDescent="0.3">
      <c r="B61" s="86" t="s">
        <v>159</v>
      </c>
      <c r="C61" s="87">
        <v>2010</v>
      </c>
      <c r="D61" s="87">
        <v>2011</v>
      </c>
      <c r="E61" s="87">
        <v>2012</v>
      </c>
      <c r="F61" s="87">
        <v>2013</v>
      </c>
      <c r="G61" s="87">
        <v>2014</v>
      </c>
      <c r="H61" s="87">
        <v>2015</v>
      </c>
      <c r="I61" s="87">
        <v>2016</v>
      </c>
      <c r="J61" s="87">
        <v>2017</v>
      </c>
      <c r="K61" s="87">
        <v>2018</v>
      </c>
      <c r="L61" s="87">
        <v>2019</v>
      </c>
      <c r="M61" s="87">
        <v>2020</v>
      </c>
      <c r="N61" s="87">
        <v>2021</v>
      </c>
      <c r="O61" s="87">
        <v>2022</v>
      </c>
      <c r="P61" s="88">
        <v>2023</v>
      </c>
    </row>
    <row r="62" spans="2:16" ht="17.399999999999999" customHeight="1" x14ac:dyDescent="0.3">
      <c r="B62" s="89" t="s">
        <v>126</v>
      </c>
      <c r="C62" s="91">
        <v>172971209</v>
      </c>
      <c r="D62" s="91">
        <v>180766659</v>
      </c>
      <c r="E62" s="91">
        <v>167294116</v>
      </c>
      <c r="F62" s="91">
        <v>146965254</v>
      </c>
      <c r="G62" s="91">
        <v>56470502</v>
      </c>
      <c r="H62" s="91">
        <v>-1101997</v>
      </c>
      <c r="I62" s="91">
        <v>34158100</v>
      </c>
      <c r="J62" s="91">
        <v>43409541</v>
      </c>
      <c r="K62" s="91">
        <v>-23614092</v>
      </c>
      <c r="L62" s="91">
        <v>154152106</v>
      </c>
      <c r="M62" s="91">
        <v>84466248</v>
      </c>
      <c r="N62" s="91">
        <v>74975311</v>
      </c>
      <c r="O62" s="91">
        <v>456787332</v>
      </c>
      <c r="P62" s="92">
        <v>88884366</v>
      </c>
    </row>
    <row r="63" spans="2:16" ht="17.399999999999999" customHeight="1" x14ac:dyDescent="0.3">
      <c r="B63" s="89" t="s">
        <v>121</v>
      </c>
      <c r="C63" s="91">
        <v>164563515</v>
      </c>
      <c r="D63" s="91">
        <v>171907944</v>
      </c>
      <c r="E63" s="91">
        <v>153716083</v>
      </c>
      <c r="F63" s="91">
        <v>123693559</v>
      </c>
      <c r="G63" s="91">
        <v>-4763869</v>
      </c>
      <c r="H63" s="91">
        <v>-72046891</v>
      </c>
      <c r="I63" s="91">
        <v>-48454399</v>
      </c>
      <c r="J63" s="91">
        <v>-36750996</v>
      </c>
      <c r="K63" s="91">
        <v>-101236277</v>
      </c>
      <c r="L63" s="91">
        <v>-150682344</v>
      </c>
      <c r="M63" s="91">
        <v>-59655058</v>
      </c>
      <c r="N63" s="91">
        <v>-59785333</v>
      </c>
      <c r="O63" s="91">
        <v>-201873034</v>
      </c>
      <c r="P63" s="92">
        <v>-75710210</v>
      </c>
    </row>
    <row r="64" spans="2:16" ht="17.399999999999999" customHeight="1" x14ac:dyDescent="0.3">
      <c r="B64" s="81"/>
      <c r="C64" s="80"/>
      <c r="D64" s="80"/>
      <c r="E64" s="80"/>
      <c r="F64" s="80"/>
      <c r="G64" s="80"/>
      <c r="H64" s="80"/>
      <c r="I64" s="80"/>
      <c r="J64" s="80"/>
      <c r="K64" s="80"/>
      <c r="L64" s="80"/>
      <c r="M64" s="80"/>
      <c r="N64" s="80"/>
      <c r="O64" s="80"/>
      <c r="P64" s="82"/>
    </row>
    <row r="65" spans="2:16" ht="17.399999999999999" customHeight="1" x14ac:dyDescent="0.3">
      <c r="B65" s="83" t="s">
        <v>160</v>
      </c>
      <c r="C65" s="84">
        <v>0.749</v>
      </c>
      <c r="D65" s="84">
        <v>0.67500000000000004</v>
      </c>
      <c r="E65" s="84">
        <v>0.65</v>
      </c>
      <c r="F65" s="84">
        <v>0.60199999999999998</v>
      </c>
      <c r="G65" s="84">
        <v>0.53100000000000003</v>
      </c>
      <c r="H65" s="84">
        <v>0.46700000000000003</v>
      </c>
      <c r="I65" s="84">
        <v>0.42799999999999999</v>
      </c>
      <c r="J65" s="84">
        <v>0.39600000000000002</v>
      </c>
      <c r="K65" s="84">
        <v>0.36199999999999999</v>
      </c>
      <c r="L65" s="84">
        <v>0.32200000000000001</v>
      </c>
      <c r="M65" s="84">
        <v>0.28399999999999997</v>
      </c>
      <c r="N65" s="84">
        <v>0.19800000000000001</v>
      </c>
      <c r="O65" s="84">
        <v>6.2E-2</v>
      </c>
      <c r="P65" s="85">
        <v>2.1999999999999999E-2</v>
      </c>
    </row>
    <row r="66" spans="2:16" ht="17.399999999999999" customHeight="1" x14ac:dyDescent="0.3">
      <c r="B66" s="89" t="s">
        <v>161</v>
      </c>
      <c r="C66" s="91">
        <v>302526644.54100001</v>
      </c>
      <c r="D66" s="91">
        <v>302784153.82499999</v>
      </c>
      <c r="E66" s="91">
        <v>276035291.39999998</v>
      </c>
      <c r="F66" s="91">
        <v>235438336.90799999</v>
      </c>
      <c r="G66" s="91">
        <v>86456338.562000006</v>
      </c>
      <c r="H66" s="91">
        <v>-1616629.5990000002</v>
      </c>
      <c r="I66" s="91">
        <v>48777766.799999997</v>
      </c>
      <c r="J66" s="91">
        <v>60599719.235999994</v>
      </c>
      <c r="K66" s="91">
        <v>-32162393.304000001</v>
      </c>
      <c r="L66" s="91">
        <v>203789084.132</v>
      </c>
      <c r="M66" s="91">
        <v>108454662.432</v>
      </c>
      <c r="N66" s="91">
        <v>89820422.577999994</v>
      </c>
      <c r="O66" s="91">
        <v>485108146.58400005</v>
      </c>
      <c r="P66" s="92">
        <v>90839822.052000001</v>
      </c>
    </row>
    <row r="67" spans="2:16" ht="17.399999999999999" customHeight="1" thickBot="1" x14ac:dyDescent="0.35">
      <c r="B67" s="90" t="s">
        <v>162</v>
      </c>
      <c r="C67" s="93">
        <v>287821587.73500001</v>
      </c>
      <c r="D67" s="93">
        <v>287945806.19999999</v>
      </c>
      <c r="E67" s="93">
        <v>253631536.94999999</v>
      </c>
      <c r="F67" s="93">
        <v>198157081.51799998</v>
      </c>
      <c r="G67" s="93">
        <v>-7293483.4390000002</v>
      </c>
      <c r="H67" s="93">
        <v>-105692789.097</v>
      </c>
      <c r="I67" s="93">
        <v>-69192881.772</v>
      </c>
      <c r="J67" s="93">
        <v>-51304390.415999994</v>
      </c>
      <c r="K67" s="93">
        <v>-137883809.27400002</v>
      </c>
      <c r="L67" s="93">
        <v>-199202058.76800001</v>
      </c>
      <c r="M67" s="93">
        <v>-76597094.472000003</v>
      </c>
      <c r="N67" s="93">
        <v>-71622828.934</v>
      </c>
      <c r="O67" s="93">
        <v>-214389162.10800001</v>
      </c>
      <c r="P67" s="94">
        <v>-77375834.620000005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ENEL</vt:lpstr>
      <vt:lpstr>Análisis</vt:lpstr>
      <vt:lpstr>A plotear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Rodrigo Serrano Perez (Alumno)</cp:lastModifiedBy>
  <dcterms:created xsi:type="dcterms:W3CDTF">2000-01-01T12:00:00Z</dcterms:created>
  <dcterms:modified xsi:type="dcterms:W3CDTF">2024-06-07T20:24:09Z</dcterms:modified>
</cp:coreProperties>
</file>